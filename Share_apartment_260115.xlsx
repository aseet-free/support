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82106\Desktop\00. 사업화\바이브코딩\"/>
    </mc:Choice>
  </mc:AlternateContent>
  <bookViews>
    <workbookView xWindow="0" yWindow="0" windowWidth="25600" windowHeight="12050"/>
  </bookViews>
  <sheets>
    <sheet name="Sheet1" sheetId="1" r:id="rId1"/>
  </sheets>
  <definedNames>
    <definedName name="_xlnm._FilterDatabase" localSheetId="0" hidden="1">Sheet1!$B$5:$AA$5</definedName>
  </definedName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A849" i="1" l="1"/>
  <c r="AA847" i="1"/>
  <c r="AA846" i="1"/>
  <c r="AA838" i="1"/>
  <c r="AA837" i="1"/>
  <c r="AA835" i="1"/>
  <c r="AA833" i="1"/>
  <c r="AA830" i="1"/>
  <c r="AA831" i="1"/>
  <c r="AA828" i="1"/>
  <c r="AA827" i="1"/>
  <c r="AA826" i="1"/>
  <c r="AA824" i="1"/>
  <c r="AA825" i="1"/>
  <c r="AA823" i="1"/>
  <c r="AA821" i="1"/>
  <c r="AA818" i="1"/>
  <c r="AA816" i="1"/>
  <c r="AA814" i="1"/>
  <c r="AA810" i="1"/>
  <c r="AA809" i="1"/>
  <c r="AA806" i="1"/>
  <c r="AA807" i="1"/>
  <c r="AA804" i="1"/>
  <c r="AA797" i="1"/>
  <c r="AA798" i="1"/>
  <c r="AA795" i="1"/>
  <c r="AA792" i="1"/>
  <c r="AA793" i="1"/>
  <c r="AA783" i="1"/>
  <c r="AA784" i="1"/>
  <c r="AA774" i="1"/>
  <c r="AA761" i="1"/>
  <c r="AA762" i="1"/>
  <c r="AA763" i="1"/>
  <c r="AA758" i="1"/>
  <c r="AA735" i="1"/>
  <c r="AA721" i="1"/>
  <c r="AA713" i="1"/>
  <c r="AA714" i="1"/>
  <c r="AA699" i="1"/>
  <c r="AA697" i="1"/>
  <c r="AA682" i="1"/>
  <c r="AA660" i="1"/>
  <c r="AA642" i="1"/>
  <c r="AA643" i="1"/>
  <c r="AA644" i="1"/>
  <c r="AA620" i="1"/>
  <c r="AA610" i="1"/>
  <c r="AA542" i="1"/>
  <c r="AA533" i="1"/>
  <c r="AA522" i="1"/>
  <c r="AA523" i="1"/>
  <c r="AA466" i="1"/>
  <c r="AA402" i="1"/>
  <c r="AA785" i="1"/>
  <c r="AA744" i="1"/>
  <c r="AA736" i="1"/>
  <c r="AA700" i="1"/>
  <c r="AA701" i="1"/>
  <c r="AA683" i="1"/>
  <c r="AA671" i="1"/>
  <c r="AA661" i="1"/>
  <c r="AA656" i="1"/>
  <c r="AA652" i="1"/>
  <c r="AA645" i="1"/>
  <c r="AA636" i="1"/>
  <c r="AA621" i="1"/>
  <c r="AA622" i="1"/>
  <c r="AA623" i="1"/>
  <c r="AA600" i="1"/>
  <c r="AA582" i="1"/>
  <c r="AA576" i="1"/>
  <c r="AA563" i="1"/>
  <c r="AA557" i="1"/>
  <c r="AA543" i="1"/>
  <c r="AA540" i="1"/>
  <c r="AA535" i="1"/>
  <c r="AA524" i="1"/>
  <c r="AA525" i="1"/>
  <c r="AA504" i="1"/>
  <c r="AA490" i="1"/>
  <c r="AA485" i="1"/>
  <c r="AA486" i="1"/>
  <c r="AA482" i="1"/>
  <c r="AA462" i="1"/>
  <c r="AA463" i="1"/>
  <c r="AA452" i="1"/>
  <c r="AA434" i="1"/>
  <c r="AA421" i="1"/>
  <c r="AA403" i="1"/>
  <c r="AA378" i="1"/>
  <c r="AA379" i="1"/>
  <c r="AA352" i="1"/>
  <c r="AA274" i="1"/>
  <c r="AA323" i="1"/>
  <c r="AA239" i="1"/>
  <c r="AA228" i="1"/>
  <c r="AA213" i="1"/>
  <c r="AA179" i="1"/>
  <c r="AA161" i="1"/>
  <c r="AA107" i="1"/>
  <c r="AA74" i="1"/>
  <c r="AA75" i="1"/>
  <c r="AA64" i="1"/>
  <c r="AA65" i="1"/>
  <c r="AA52" i="1"/>
  <c r="AA40" i="1"/>
  <c r="AA27" i="1"/>
  <c r="AA19" i="1"/>
  <c r="AA684" i="1"/>
  <c r="AA577" i="1"/>
  <c r="AA564" i="1"/>
  <c r="AA536" i="1"/>
  <c r="AA537" i="1"/>
  <c r="AA534" i="1"/>
  <c r="AA505" i="1"/>
  <c r="AA500" i="1"/>
  <c r="AA491" i="1"/>
  <c r="AA492" i="1"/>
  <c r="AA478" i="1"/>
  <c r="AA453" i="1"/>
  <c r="AA454" i="1"/>
  <c r="AA435" i="1"/>
  <c r="AA422" i="1"/>
  <c r="AA414" i="1"/>
  <c r="AA415" i="1"/>
  <c r="AA404" i="1"/>
  <c r="AA380" i="1"/>
  <c r="AA371" i="1"/>
  <c r="AA353" i="1"/>
  <c r="AA354" i="1"/>
  <c r="AA345" i="1"/>
  <c r="AA342" i="1"/>
  <c r="AA324" i="1"/>
  <c r="AA325" i="1"/>
  <c r="AA326" i="1"/>
  <c r="AA327" i="1"/>
  <c r="AA313" i="1"/>
  <c r="AA296" i="1"/>
  <c r="AA275" i="1"/>
  <c r="AA276" i="1"/>
  <c r="AA277" i="1"/>
  <c r="AA249" i="1"/>
  <c r="AA240" i="1"/>
  <c r="AA232" i="1"/>
  <c r="AA233" i="1"/>
  <c r="AA214" i="1"/>
  <c r="AA215" i="1"/>
  <c r="AA197" i="1"/>
  <c r="AA175" i="1"/>
  <c r="AA172" i="1"/>
  <c r="AA162" i="1"/>
  <c r="AA157" i="1"/>
  <c r="AA150" i="1"/>
  <c r="AA151" i="1"/>
  <c r="AA142" i="1"/>
  <c r="AA123" i="1"/>
  <c r="AA86" i="1"/>
  <c r="AA76" i="1"/>
  <c r="AA77" i="1"/>
  <c r="AA70" i="1"/>
  <c r="AA66" i="1"/>
  <c r="AA60" i="1"/>
  <c r="AA18" i="1"/>
  <c r="AA13" i="1"/>
  <c r="AA584" i="1"/>
  <c r="AA526" i="1"/>
  <c r="AA436" i="1"/>
  <c r="AA419" i="1"/>
  <c r="AA416" i="1"/>
  <c r="AA405" i="1"/>
  <c r="AA328" i="1"/>
  <c r="AA314" i="1"/>
  <c r="AA315" i="1"/>
  <c r="AA311" i="1"/>
  <c r="AA297" i="1"/>
  <c r="AA292" i="1"/>
  <c r="AA278" i="1"/>
  <c r="AA279" i="1"/>
  <c r="AA280" i="1"/>
  <c r="AA241" i="1"/>
  <c r="AA200" i="1"/>
  <c r="AA180" i="1"/>
  <c r="AA152" i="1"/>
  <c r="AA71" i="1"/>
  <c r="AA36" i="1"/>
  <c r="AA786" i="1"/>
  <c r="AA772" i="1"/>
  <c r="AA764" i="1"/>
  <c r="AA737" i="1"/>
  <c r="AA722" i="1"/>
  <c r="AA696" i="1"/>
  <c r="AA685" i="1"/>
  <c r="AA686" i="1"/>
  <c r="AA639" i="1"/>
  <c r="AA637" i="1"/>
  <c r="AA624" i="1"/>
  <c r="AA618" i="1"/>
  <c r="AA614" i="1"/>
  <c r="AA601" i="1"/>
  <c r="AA602" i="1"/>
  <c r="AA598" i="1"/>
  <c r="AA585" i="1"/>
  <c r="AA583" i="1"/>
  <c r="AA574" i="1"/>
  <c r="AA561" i="1"/>
  <c r="AA556" i="1"/>
  <c r="AA544" i="1"/>
  <c r="AA527" i="1"/>
  <c r="AA506" i="1"/>
  <c r="AA493" i="1"/>
  <c r="AA487" i="1"/>
  <c r="AA406" i="1"/>
  <c r="AA381" i="1"/>
  <c r="AA377" i="1"/>
  <c r="AA611" i="1"/>
  <c r="AA437" i="1"/>
  <c r="AA438" i="1"/>
  <c r="AA407" i="1"/>
  <c r="AA399" i="1"/>
  <c r="AA396" i="1"/>
  <c r="AA355" i="1"/>
  <c r="AA329" i="1"/>
  <c r="AA330" i="1"/>
  <c r="AA331" i="1"/>
  <c r="AA298" i="1"/>
  <c r="AA281" i="1"/>
  <c r="AA282" i="1"/>
  <c r="AA283" i="1"/>
  <c r="AA284" i="1"/>
  <c r="AA204" i="1"/>
  <c r="AA201" i="1"/>
  <c r="AA181" i="1"/>
  <c r="AA182" i="1"/>
  <c r="AA183" i="1"/>
  <c r="AA178" i="1"/>
  <c r="AA173" i="1"/>
  <c r="AA163" i="1"/>
  <c r="AA164" i="1"/>
  <c r="AA165" i="1"/>
  <c r="AA143" i="1"/>
  <c r="AA144" i="1"/>
  <c r="AA124" i="1"/>
  <c r="AA119" i="1"/>
  <c r="AA113" i="1"/>
  <c r="AA114" i="1"/>
  <c r="AA91" i="1"/>
  <c r="AA92" i="1"/>
  <c r="AA93" i="1"/>
  <c r="AA89" i="1"/>
  <c r="AA78" i="1"/>
  <c r="AA79" i="1"/>
  <c r="AA67" i="1"/>
  <c r="AA68" i="1"/>
  <c r="AA69" i="1"/>
  <c r="AA61" i="1"/>
  <c r="AA53" i="1"/>
  <c r="AA54" i="1"/>
  <c r="AA44" i="1"/>
  <c r="AA41" i="1"/>
  <c r="AA37" i="1"/>
  <c r="AA35" i="1"/>
  <c r="AA32" i="1"/>
  <c r="AA14" i="1"/>
  <c r="AA299" i="1"/>
  <c r="AA205" i="1"/>
  <c r="AA203" i="1"/>
  <c r="AA136" i="1"/>
  <c r="AA125" i="1"/>
  <c r="AA80" i="1"/>
  <c r="AA28" i="1"/>
  <c r="AA12" i="1"/>
  <c r="AA9" i="1"/>
  <c r="AA356" i="1"/>
  <c r="AA332" i="1"/>
  <c r="AA333" i="1"/>
  <c r="AA320" i="1"/>
  <c r="AA300" i="1"/>
  <c r="AA301" i="1"/>
  <c r="AA294" i="1"/>
  <c r="AA285" i="1"/>
  <c r="AA265" i="1"/>
  <c r="AA256" i="1"/>
  <c r="AA253" i="1"/>
  <c r="AA250" i="1"/>
  <c r="AA242" i="1"/>
  <c r="AA229" i="1"/>
  <c r="AA216" i="1"/>
  <c r="AA206" i="1"/>
  <c r="AA184" i="1"/>
  <c r="AA185" i="1"/>
  <c r="AA186" i="1"/>
  <c r="AA187" i="1"/>
  <c r="AA176" i="1"/>
  <c r="AA166" i="1"/>
  <c r="AA167" i="1"/>
  <c r="AA153" i="1"/>
  <c r="AA149" i="1"/>
  <c r="AA145" i="1"/>
  <c r="AA137" i="1"/>
  <c r="AA133" i="1"/>
  <c r="AA126" i="1"/>
  <c r="AA120" i="1"/>
  <c r="AA115" i="1"/>
  <c r="AA111" i="1"/>
  <c r="AA96" i="1"/>
  <c r="AA97" i="1"/>
  <c r="AA90" i="1"/>
  <c r="AA81" i="1"/>
  <c r="AA82" i="1"/>
  <c r="AA62" i="1"/>
  <c r="AA63" i="1"/>
  <c r="AA55" i="1"/>
  <c r="AA56" i="1"/>
  <c r="AA45" i="1"/>
  <c r="AA46" i="1"/>
  <c r="AA42" i="1"/>
  <c r="AA43" i="1"/>
  <c r="AA38" i="1"/>
  <c r="AA30" i="1"/>
  <c r="AA21" i="1"/>
  <c r="AA22" i="1"/>
  <c r="AA23" i="1"/>
  <c r="AA24" i="1"/>
  <c r="AA15" i="1"/>
  <c r="AA7" i="1"/>
  <c r="AA243" i="1"/>
  <c r="AA234" i="1"/>
  <c r="AA217" i="1"/>
  <c r="AA207" i="1"/>
  <c r="AA198" i="1"/>
  <c r="AA154" i="1"/>
  <c r="AA146" i="1"/>
  <c r="AA127" i="1"/>
  <c r="AA128" i="1"/>
  <c r="AA116" i="1"/>
  <c r="AA98" i="1"/>
  <c r="AA99" i="1"/>
  <c r="AA100" i="1"/>
  <c r="AA87" i="1"/>
  <c r="AA83" i="1"/>
  <c r="AA72" i="1"/>
  <c r="AA57" i="1"/>
  <c r="AA49" i="1"/>
  <c r="AA47" i="1"/>
  <c r="AA39" i="1"/>
  <c r="AA33" i="1"/>
  <c r="AA31" i="1"/>
  <c r="AA29" i="1"/>
  <c r="AA25" i="1"/>
  <c r="AA20" i="1"/>
  <c r="AA16" i="1"/>
  <c r="AA11" i="1"/>
  <c r="AA10" i="1"/>
  <c r="AA6" i="1"/>
  <c r="AA615" i="1"/>
  <c r="AA586" i="1"/>
  <c r="AA587" i="1"/>
  <c r="AA565" i="1"/>
  <c r="AA555" i="1"/>
  <c r="AA545" i="1"/>
  <c r="AA539" i="1"/>
  <c r="AA528" i="1"/>
  <c r="AA502" i="1"/>
  <c r="AA498" i="1"/>
  <c r="AA488" i="1"/>
  <c r="AA483" i="1"/>
  <c r="AA484" i="1"/>
  <c r="AA467" i="1"/>
  <c r="AA468" i="1"/>
  <c r="AA469" i="1"/>
  <c r="AA455" i="1"/>
  <c r="AA439" i="1"/>
  <c r="AA440" i="1"/>
  <c r="AA433" i="1"/>
  <c r="AA398" i="1"/>
  <c r="AA382" i="1"/>
  <c r="AA368" i="1"/>
  <c r="AA334" i="1"/>
  <c r="AA335" i="1"/>
  <c r="AA316" i="1"/>
  <c r="AA302" i="1"/>
  <c r="AA286" i="1"/>
  <c r="AA267" i="1"/>
  <c r="AA268" i="1"/>
  <c r="AA257" i="1"/>
  <c r="AA251" i="1"/>
  <c r="AA244" i="1"/>
  <c r="AA245" i="1"/>
  <c r="AA188" i="1"/>
  <c r="AA177" i="1"/>
  <c r="AA174" i="1"/>
  <c r="AA168" i="1"/>
  <c r="AA155" i="1"/>
  <c r="AA134" i="1"/>
  <c r="AA129" i="1"/>
  <c r="AA84" i="1"/>
  <c r="AA794" i="1"/>
  <c r="AA765" i="1"/>
  <c r="AA756" i="1"/>
  <c r="AA745" i="1"/>
  <c r="AA732" i="1"/>
  <c r="AA727" i="1"/>
  <c r="AA728" i="1"/>
  <c r="AA715" i="1"/>
  <c r="AA702" i="1"/>
  <c r="AA703" i="1"/>
  <c r="AA687" i="1"/>
  <c r="AA662" i="1"/>
  <c r="AA663" i="1"/>
  <c r="AA664" i="1"/>
  <c r="AA659" i="1"/>
  <c r="AA658" i="1"/>
  <c r="AA625" i="1"/>
  <c r="AA626" i="1"/>
  <c r="AA616" i="1"/>
  <c r="AA612" i="1"/>
  <c r="AA603" i="1"/>
  <c r="AA604" i="1"/>
  <c r="AA605" i="1"/>
  <c r="AA599" i="1"/>
  <c r="AA588" i="1"/>
  <c r="AA578" i="1"/>
  <c r="AA566" i="1"/>
  <c r="AA567" i="1"/>
  <c r="AA558" i="1"/>
  <c r="AA559" i="1"/>
  <c r="AA546" i="1"/>
  <c r="AA547" i="1"/>
  <c r="AA548" i="1"/>
  <c r="AA549" i="1"/>
  <c r="AA529" i="1"/>
  <c r="AA530" i="1"/>
  <c r="AA507" i="1"/>
  <c r="AA508" i="1"/>
  <c r="AA509" i="1"/>
  <c r="AA479" i="1"/>
  <c r="AA464" i="1"/>
  <c r="AA441" i="1"/>
  <c r="AA442" i="1"/>
  <c r="AA443" i="1"/>
  <c r="AA444" i="1"/>
  <c r="AA432" i="1"/>
  <c r="AA423" i="1"/>
  <c r="AA424" i="1"/>
  <c r="AA425" i="1"/>
  <c r="AA420" i="1"/>
  <c r="AA400" i="1"/>
  <c r="AA401" i="1"/>
  <c r="AA395" i="1"/>
  <c r="AA383" i="1"/>
  <c r="AA369" i="1"/>
  <c r="AA357" i="1"/>
  <c r="AA346" i="1"/>
  <c r="AA336" i="1"/>
  <c r="AA303" i="1"/>
  <c r="AA787" i="1"/>
  <c r="AA781" i="1"/>
  <c r="AA766" i="1"/>
  <c r="AA752" i="1"/>
  <c r="AA747" i="1"/>
  <c r="AA738" i="1"/>
  <c r="AA726" i="1"/>
  <c r="AA723" i="1"/>
  <c r="AA724" i="1"/>
  <c r="AA704" i="1"/>
  <c r="AA705" i="1"/>
  <c r="AA706" i="1"/>
  <c r="AA688" i="1"/>
  <c r="AA689" i="1"/>
  <c r="AA672" i="1"/>
  <c r="AA673" i="1"/>
  <c r="AA646" i="1"/>
  <c r="AA647" i="1"/>
  <c r="AA634" i="1"/>
  <c r="AA589" i="1"/>
  <c r="AA590" i="1"/>
  <c r="AA580" i="1"/>
  <c r="AA581" i="1"/>
  <c r="AA568" i="1"/>
  <c r="AA531" i="1"/>
  <c r="AA510" i="1"/>
  <c r="AA494" i="1"/>
  <c r="AA445" i="1"/>
  <c r="AA408" i="1"/>
  <c r="AA384" i="1"/>
  <c r="AA252" i="1"/>
  <c r="AA690" i="1"/>
  <c r="AA651" i="1"/>
  <c r="AA617" i="1"/>
  <c r="AA597" i="1"/>
  <c r="AA511" i="1"/>
  <c r="AA470" i="1"/>
  <c r="AA457" i="1"/>
  <c r="AA446" i="1"/>
  <c r="AA426" i="1"/>
  <c r="AA417" i="1"/>
  <c r="AA409" i="1"/>
  <c r="AA410" i="1"/>
  <c r="AA385" i="1"/>
  <c r="AA386" i="1"/>
  <c r="AA358" i="1"/>
  <c r="AA359" i="1"/>
  <c r="AA344" i="1"/>
  <c r="AA337" i="1"/>
  <c r="AA338" i="1"/>
  <c r="AA321" i="1"/>
  <c r="AA287" i="1"/>
  <c r="AA269" i="1"/>
  <c r="AA270" i="1"/>
  <c r="AA258" i="1"/>
  <c r="AA246" i="1"/>
  <c r="AA211" i="1"/>
  <c r="AA169" i="1"/>
  <c r="AA130" i="1"/>
  <c r="AA108" i="1"/>
  <c r="AA101" i="1"/>
  <c r="AA48" i="1"/>
  <c r="AA856" i="1"/>
  <c r="AA855" i="1"/>
  <c r="AA854" i="1"/>
  <c r="AA853" i="1"/>
  <c r="AA852" i="1"/>
  <c r="AA851" i="1"/>
  <c r="AA850" i="1"/>
  <c r="AA848" i="1"/>
  <c r="AA845" i="1"/>
  <c r="AA841" i="1"/>
  <c r="AA842" i="1"/>
  <c r="AA843" i="1"/>
  <c r="AA839" i="1"/>
  <c r="AA840" i="1"/>
  <c r="AA836" i="1"/>
  <c r="AA834" i="1"/>
  <c r="AA832" i="1"/>
  <c r="AA829" i="1"/>
  <c r="AA822" i="1"/>
  <c r="AA819" i="1"/>
  <c r="AA820" i="1"/>
  <c r="AA817" i="1"/>
  <c r="AA815" i="1"/>
  <c r="AA811" i="1"/>
  <c r="AA808" i="1"/>
  <c r="AA805" i="1"/>
  <c r="AA799" i="1"/>
  <c r="AA800" i="1"/>
  <c r="AA801" i="1"/>
  <c r="AA802" i="1"/>
  <c r="AA796" i="1"/>
  <c r="AA791" i="1"/>
  <c r="AA775" i="1"/>
  <c r="AA776" i="1"/>
  <c r="AA777" i="1"/>
  <c r="AA759" i="1"/>
  <c r="AA739" i="1"/>
  <c r="AA680" i="1"/>
  <c r="AA665" i="1"/>
  <c r="AA788" i="1"/>
  <c r="AA778" i="1"/>
  <c r="AA771" i="1"/>
  <c r="AA767" i="1"/>
  <c r="AA768" i="1"/>
  <c r="AA754" i="1"/>
  <c r="AA753" i="1"/>
  <c r="AA746" i="1"/>
  <c r="AA729" i="1"/>
  <c r="AA725" i="1"/>
  <c r="AA716" i="1"/>
  <c r="AA717" i="1"/>
  <c r="AA707" i="1"/>
  <c r="AA695" i="1"/>
  <c r="AA691" i="1"/>
  <c r="AA679" i="1"/>
  <c r="AA674" i="1"/>
  <c r="AA675" i="1"/>
  <c r="AA666" i="1"/>
  <c r="AA657" i="1"/>
  <c r="AA635" i="1"/>
  <c r="AA627" i="1"/>
  <c r="AA628" i="1"/>
  <c r="AA619" i="1"/>
  <c r="AA606" i="1"/>
  <c r="AA607" i="1"/>
  <c r="AA575" i="1"/>
  <c r="AA569" i="1"/>
  <c r="AA562" i="1"/>
  <c r="AA541" i="1"/>
  <c r="AA512" i="1"/>
  <c r="AA495" i="1"/>
  <c r="AA458" i="1"/>
  <c r="AA456" i="1"/>
  <c r="AA418" i="1"/>
  <c r="AA397" i="1"/>
  <c r="AA387" i="1"/>
  <c r="AA370" i="1"/>
  <c r="AA360" i="1"/>
  <c r="AA347" i="1"/>
  <c r="AA591" i="1"/>
  <c r="AA570" i="1"/>
  <c r="AA513" i="1"/>
  <c r="AA447" i="1"/>
  <c r="AA427" i="1"/>
  <c r="AA428" i="1"/>
  <c r="AA411" i="1"/>
  <c r="AA388" i="1"/>
  <c r="AA389" i="1"/>
  <c r="AA376" i="1"/>
  <c r="AA372" i="1"/>
  <c r="AA361" i="1"/>
  <c r="AA343" i="1"/>
  <c r="AA339" i="1"/>
  <c r="AA317" i="1"/>
  <c r="AA318" i="1"/>
  <c r="AA310" i="1"/>
  <c r="AA304" i="1"/>
  <c r="AA305" i="1"/>
  <c r="AA295" i="1"/>
  <c r="AA288" i="1"/>
  <c r="AA289" i="1"/>
  <c r="AA259" i="1"/>
  <c r="AA260" i="1"/>
  <c r="AA261" i="1"/>
  <c r="AA238" i="1"/>
  <c r="AA235" i="1"/>
  <c r="AA218" i="1"/>
  <c r="AA219" i="1"/>
  <c r="AA212" i="1"/>
  <c r="AA208" i="1"/>
  <c r="AA209" i="1"/>
  <c r="AA189" i="1"/>
  <c r="AA158" i="1"/>
  <c r="AA156" i="1"/>
  <c r="AA147" i="1"/>
  <c r="AA138" i="1"/>
  <c r="AA131" i="1"/>
  <c r="AA109" i="1"/>
  <c r="AA102" i="1"/>
  <c r="AA94" i="1"/>
  <c r="AA73" i="1"/>
  <c r="AA844" i="1"/>
  <c r="AA813" i="1"/>
  <c r="AA812" i="1"/>
  <c r="AA803" i="1"/>
  <c r="AA790" i="1"/>
  <c r="AA789" i="1"/>
  <c r="AA782" i="1"/>
  <c r="AA779" i="1"/>
  <c r="AA780" i="1"/>
  <c r="AA760" i="1"/>
  <c r="AA757" i="1"/>
  <c r="AA740" i="1"/>
  <c r="AA741" i="1"/>
  <c r="AA742" i="1"/>
  <c r="AA734" i="1"/>
  <c r="AA733" i="1"/>
  <c r="AA718" i="1"/>
  <c r="AA719" i="1"/>
  <c r="AA708" i="1"/>
  <c r="AA709" i="1"/>
  <c r="AA681" i="1"/>
  <c r="AA667" i="1"/>
  <c r="AA668" i="1"/>
  <c r="AA669" i="1"/>
  <c r="AA653" i="1"/>
  <c r="AA654" i="1"/>
  <c r="AA655" i="1"/>
  <c r="AA648" i="1"/>
  <c r="AA649" i="1"/>
  <c r="AA640" i="1"/>
  <c r="AA638" i="1"/>
  <c r="AA629" i="1"/>
  <c r="AA613" i="1"/>
  <c r="AA608" i="1"/>
  <c r="AA579" i="1"/>
  <c r="AA514" i="1"/>
  <c r="AA515" i="1"/>
  <c r="AA503" i="1"/>
  <c r="AA489" i="1"/>
  <c r="AA481" i="1"/>
  <c r="AA471" i="1"/>
  <c r="AA390" i="1"/>
  <c r="AA231" i="1"/>
  <c r="AA135" i="1"/>
  <c r="AA58" i="1"/>
  <c r="AA710" i="1"/>
  <c r="AA692" i="1"/>
  <c r="AA693" i="1"/>
  <c r="AA676" i="1"/>
  <c r="AA630" i="1"/>
  <c r="AA631" i="1"/>
  <c r="AA609" i="1"/>
  <c r="AA571" i="1"/>
  <c r="AA550" i="1"/>
  <c r="AA516" i="1"/>
  <c r="AA496" i="1"/>
  <c r="AA459" i="1"/>
  <c r="AA448" i="1"/>
  <c r="AA429" i="1"/>
  <c r="AA412" i="1"/>
  <c r="AA391" i="1"/>
  <c r="AA362" i="1"/>
  <c r="AA363" i="1"/>
  <c r="AA364" i="1"/>
  <c r="AA319" i="1"/>
  <c r="AA306" i="1"/>
  <c r="AA290" i="1"/>
  <c r="AA262" i="1"/>
  <c r="AA210" i="1"/>
  <c r="AA190" i="1"/>
  <c r="AA139" i="1"/>
  <c r="AA110" i="1"/>
  <c r="AA730" i="1"/>
  <c r="AA711" i="1"/>
  <c r="AA694" i="1"/>
  <c r="AA677" i="1"/>
  <c r="AA670" i="1"/>
  <c r="AA632" i="1"/>
  <c r="AA633" i="1"/>
  <c r="AA592" i="1"/>
  <c r="AA593" i="1"/>
  <c r="AA594" i="1"/>
  <c r="AA572" i="1"/>
  <c r="AA560" i="1"/>
  <c r="AA551" i="1"/>
  <c r="AA552" i="1"/>
  <c r="AA553" i="1"/>
  <c r="AA517" i="1"/>
  <c r="AA518" i="1"/>
  <c r="AA499" i="1"/>
  <c r="AA497" i="1"/>
  <c r="AA480" i="1"/>
  <c r="AA472" i="1"/>
  <c r="AA473" i="1"/>
  <c r="AA474" i="1"/>
  <c r="AA460" i="1"/>
  <c r="AA449" i="1"/>
  <c r="AA430" i="1"/>
  <c r="AA431" i="1"/>
  <c r="AA392" i="1"/>
  <c r="AA365" i="1"/>
  <c r="AA366" i="1"/>
  <c r="AA367" i="1"/>
  <c r="AA348" i="1"/>
  <c r="AA322" i="1"/>
  <c r="AA266" i="1"/>
  <c r="AA773" i="1"/>
  <c r="AA755" i="1"/>
  <c r="AA748" i="1"/>
  <c r="AA749" i="1"/>
  <c r="AA743" i="1"/>
  <c r="AA731" i="1"/>
  <c r="AA698" i="1"/>
  <c r="AA678" i="1"/>
  <c r="AA650" i="1"/>
  <c r="AA595" i="1"/>
  <c r="AA596" i="1"/>
  <c r="AA521" i="1"/>
  <c r="AA538" i="1"/>
  <c r="AA519" i="1"/>
  <c r="AA475" i="1"/>
  <c r="AA450" i="1"/>
  <c r="AA393" i="1"/>
  <c r="AA394" i="1"/>
  <c r="AA374" i="1"/>
  <c r="AA349" i="1"/>
  <c r="AA312" i="1"/>
  <c r="AA307" i="1"/>
  <c r="AA308" i="1"/>
  <c r="AA293" i="1"/>
  <c r="AA273" i="1"/>
  <c r="AA271" i="1"/>
  <c r="AA255" i="1"/>
  <c r="AA247" i="1"/>
  <c r="AA248" i="1"/>
  <c r="AA236" i="1"/>
  <c r="AA237" i="1"/>
  <c r="AA225" i="1"/>
  <c r="AA226" i="1"/>
  <c r="AA220" i="1"/>
  <c r="AA221" i="1"/>
  <c r="AA222" i="1"/>
  <c r="AA202" i="1"/>
  <c r="AA199" i="1"/>
  <c r="AA191" i="1"/>
  <c r="AA192" i="1"/>
  <c r="AA170" i="1"/>
  <c r="AA171" i="1"/>
  <c r="AA159" i="1"/>
  <c r="AA148" i="1"/>
  <c r="AA140" i="1"/>
  <c r="AA132" i="1"/>
  <c r="AA121" i="1"/>
  <c r="AA117" i="1"/>
  <c r="AA118" i="1"/>
  <c r="AA103" i="1"/>
  <c r="AA104" i="1"/>
  <c r="AA59" i="1"/>
  <c r="AA50" i="1"/>
  <c r="AA769" i="1"/>
  <c r="AA770" i="1"/>
  <c r="AA750" i="1"/>
  <c r="AA751" i="1"/>
  <c r="AA720" i="1"/>
  <c r="AA712" i="1"/>
  <c r="AA501" i="1"/>
  <c r="AA461" i="1"/>
  <c r="AA309" i="1"/>
  <c r="AA291" i="1"/>
  <c r="AA272" i="1"/>
  <c r="AA254" i="1"/>
  <c r="AA223" i="1"/>
  <c r="AA224" i="1"/>
  <c r="AA160" i="1"/>
  <c r="AA112" i="1"/>
  <c r="AA105" i="1"/>
  <c r="AA641" i="1"/>
  <c r="AA573" i="1"/>
  <c r="AA554" i="1"/>
  <c r="AA532" i="1"/>
  <c r="AA520" i="1"/>
  <c r="AA476" i="1"/>
  <c r="AA465" i="1"/>
  <c r="AA451" i="1"/>
  <c r="AA373" i="1"/>
  <c r="AA351" i="1"/>
  <c r="AA350" i="1"/>
  <c r="AA477" i="1"/>
  <c r="AA413" i="1"/>
  <c r="AA375" i="1"/>
  <c r="AA340" i="1"/>
  <c r="AA341" i="1"/>
  <c r="AA263" i="1"/>
  <c r="AA264" i="1"/>
  <c r="AA230" i="1"/>
  <c r="AA227" i="1"/>
  <c r="AA193" i="1"/>
  <c r="AA194" i="1"/>
  <c r="AA195" i="1"/>
  <c r="AA196" i="1"/>
  <c r="AA141" i="1"/>
  <c r="AA122" i="1"/>
  <c r="AA106" i="1"/>
  <c r="AA95" i="1"/>
  <c r="AA88" i="1"/>
  <c r="AA85" i="1"/>
  <c r="AA51" i="1"/>
  <c r="AA34" i="1"/>
  <c r="AA26" i="1"/>
  <c r="AA17" i="1"/>
  <c r="AA8" i="1"/>
  <c r="AA857" i="1"/>
  <c r="Z857" i="1"/>
  <c r="Z849" i="1"/>
  <c r="Z847" i="1"/>
  <c r="Z846" i="1"/>
  <c r="Z838" i="1"/>
  <c r="Z837" i="1"/>
  <c r="Z835" i="1"/>
  <c r="Z833" i="1"/>
  <c r="Z830" i="1"/>
  <c r="Z831" i="1"/>
  <c r="Z828" i="1"/>
  <c r="Z827" i="1"/>
  <c r="Z826" i="1"/>
  <c r="Z824" i="1"/>
  <c r="Z825" i="1"/>
  <c r="Z823" i="1"/>
  <c r="Z821" i="1"/>
  <c r="Z818" i="1"/>
  <c r="Z816" i="1"/>
  <c r="Z814" i="1"/>
  <c r="Z810" i="1"/>
  <c r="Z809" i="1"/>
  <c r="Z806" i="1"/>
  <c r="Z807" i="1"/>
  <c r="Z804" i="1"/>
  <c r="Z797" i="1"/>
  <c r="Z798" i="1"/>
  <c r="Z795" i="1"/>
  <c r="Z792" i="1"/>
  <c r="Z793" i="1"/>
  <c r="Z783" i="1"/>
  <c r="Z784" i="1"/>
  <c r="Z774" i="1"/>
  <c r="Z761" i="1"/>
  <c r="Z762" i="1"/>
  <c r="Z763" i="1"/>
  <c r="Z758" i="1"/>
  <c r="Z735" i="1"/>
  <c r="Z721" i="1"/>
  <c r="Z713" i="1"/>
  <c r="Z714" i="1"/>
  <c r="Z699" i="1"/>
  <c r="Z697" i="1"/>
  <c r="Z682" i="1"/>
  <c r="Z660" i="1"/>
  <c r="Z642" i="1"/>
  <c r="Z643" i="1"/>
  <c r="Z644" i="1"/>
  <c r="Z620" i="1"/>
  <c r="Z610" i="1"/>
  <c r="Z542" i="1"/>
  <c r="Z533" i="1"/>
  <c r="Z522" i="1"/>
  <c r="Z523" i="1"/>
  <c r="Z466" i="1"/>
  <c r="Z402" i="1"/>
  <c r="Z785" i="1"/>
  <c r="Z744" i="1"/>
  <c r="Z736" i="1"/>
  <c r="Z700" i="1"/>
  <c r="Z701" i="1"/>
  <c r="Z683" i="1"/>
  <c r="Z671" i="1"/>
  <c r="Z661" i="1"/>
  <c r="Z656" i="1"/>
  <c r="Z652" i="1"/>
  <c r="Z645" i="1"/>
  <c r="Z636" i="1"/>
  <c r="Z621" i="1"/>
  <c r="Z622" i="1"/>
  <c r="Z623" i="1"/>
  <c r="Z600" i="1"/>
  <c r="Z582" i="1"/>
  <c r="Z576" i="1"/>
  <c r="Z563" i="1"/>
  <c r="Z557" i="1"/>
  <c r="Z543" i="1"/>
  <c r="Z540" i="1"/>
  <c r="Z535" i="1"/>
  <c r="Z524" i="1"/>
  <c r="Z525" i="1"/>
  <c r="Z504" i="1"/>
  <c r="Z490" i="1"/>
  <c r="Z485" i="1"/>
  <c r="Z486" i="1"/>
  <c r="Z482" i="1"/>
  <c r="Z462" i="1"/>
  <c r="Z463" i="1"/>
  <c r="Z452" i="1"/>
  <c r="Z434" i="1"/>
  <c r="Z421" i="1"/>
  <c r="Z403" i="1"/>
  <c r="Z378" i="1"/>
  <c r="Z379" i="1"/>
  <c r="Z352" i="1"/>
  <c r="Z274" i="1"/>
  <c r="Z323" i="1"/>
  <c r="Z239" i="1"/>
  <c r="Z228" i="1"/>
  <c r="Z213" i="1"/>
  <c r="Z179" i="1"/>
  <c r="Z161" i="1"/>
  <c r="Z107" i="1"/>
  <c r="Z74" i="1"/>
  <c r="Z75" i="1"/>
  <c r="Z64" i="1"/>
  <c r="Z65" i="1"/>
  <c r="Z52" i="1"/>
  <c r="Z40" i="1"/>
  <c r="Z27" i="1"/>
  <c r="Z19" i="1"/>
  <c r="Z684" i="1"/>
  <c r="Z577" i="1"/>
  <c r="Z564" i="1"/>
  <c r="Z536" i="1"/>
  <c r="Z537" i="1"/>
  <c r="Z534" i="1"/>
  <c r="Z505" i="1"/>
  <c r="Z500" i="1"/>
  <c r="Z491" i="1"/>
  <c r="Z492" i="1"/>
  <c r="Z478" i="1"/>
  <c r="Z453" i="1"/>
  <c r="Z454" i="1"/>
  <c r="Z435" i="1"/>
  <c r="Z422" i="1"/>
  <c r="Z414" i="1"/>
  <c r="Z415" i="1"/>
  <c r="Z404" i="1"/>
  <c r="Z380" i="1"/>
  <c r="Z371" i="1"/>
  <c r="Z353" i="1"/>
  <c r="Z354" i="1"/>
  <c r="Z345" i="1"/>
  <c r="Z342" i="1"/>
  <c r="Z324" i="1"/>
  <c r="Z325" i="1"/>
  <c r="Z326" i="1"/>
  <c r="Z327" i="1"/>
  <c r="Z313" i="1"/>
  <c r="Z296" i="1"/>
  <c r="Z275" i="1"/>
  <c r="Z276" i="1"/>
  <c r="Z277" i="1"/>
  <c r="Z249" i="1"/>
  <c r="Z240" i="1"/>
  <c r="Z232" i="1"/>
  <c r="Z233" i="1"/>
  <c r="Z214" i="1"/>
  <c r="Z215" i="1"/>
  <c r="Z197" i="1"/>
  <c r="Z175" i="1"/>
  <c r="Z172" i="1"/>
  <c r="Z162" i="1"/>
  <c r="Z157" i="1"/>
  <c r="Z150" i="1"/>
  <c r="Z151" i="1"/>
  <c r="Z142" i="1"/>
  <c r="Z123" i="1"/>
  <c r="Z86" i="1"/>
  <c r="Z76" i="1"/>
  <c r="Z77" i="1"/>
  <c r="Z70" i="1"/>
  <c r="Z66" i="1"/>
  <c r="Z60" i="1"/>
  <c r="Z18" i="1"/>
  <c r="Z13" i="1"/>
  <c r="Z584" i="1"/>
  <c r="Z526" i="1"/>
  <c r="Z436" i="1"/>
  <c r="Z419" i="1"/>
  <c r="Z416" i="1"/>
  <c r="Z405" i="1"/>
  <c r="Z328" i="1"/>
  <c r="Z314" i="1"/>
  <c r="Z315" i="1"/>
  <c r="Z311" i="1"/>
  <c r="Z297" i="1"/>
  <c r="Z292" i="1"/>
  <c r="Z278" i="1"/>
  <c r="Z279" i="1"/>
  <c r="Z280" i="1"/>
  <c r="Z241" i="1"/>
  <c r="Z200" i="1"/>
  <c r="Z180" i="1"/>
  <c r="Z152" i="1"/>
  <c r="Z71" i="1"/>
  <c r="Z36" i="1"/>
  <c r="Z786" i="1"/>
  <c r="Z772" i="1"/>
  <c r="Z764" i="1"/>
  <c r="Z737" i="1"/>
  <c r="Z722" i="1"/>
  <c r="Z696" i="1"/>
  <c r="Z685" i="1"/>
  <c r="Z686" i="1"/>
  <c r="Z639" i="1"/>
  <c r="Z637" i="1"/>
  <c r="Z624" i="1"/>
  <c r="Z618" i="1"/>
  <c r="Z614" i="1"/>
  <c r="Z601" i="1"/>
  <c r="Z602" i="1"/>
  <c r="Z598" i="1"/>
  <c r="Z585" i="1"/>
  <c r="Z583" i="1"/>
  <c r="Z574" i="1"/>
  <c r="Z561" i="1"/>
  <c r="Z556" i="1"/>
  <c r="Z544" i="1"/>
  <c r="Z527" i="1"/>
  <c r="Z506" i="1"/>
  <c r="Z493" i="1"/>
  <c r="Z487" i="1"/>
  <c r="Z406" i="1"/>
  <c r="Z381" i="1"/>
  <c r="Z377" i="1"/>
  <c r="Z611" i="1"/>
  <c r="Z437" i="1"/>
  <c r="Z438" i="1"/>
  <c r="Z407" i="1"/>
  <c r="Z399" i="1"/>
  <c r="Z396" i="1"/>
  <c r="Z355" i="1"/>
  <c r="Z329" i="1"/>
  <c r="Z330" i="1"/>
  <c r="Z331" i="1"/>
  <c r="Z298" i="1"/>
  <c r="Z281" i="1"/>
  <c r="Z282" i="1"/>
  <c r="Z283" i="1"/>
  <c r="Z284" i="1"/>
  <c r="Z204" i="1"/>
  <c r="Z201" i="1"/>
  <c r="Z181" i="1"/>
  <c r="Z182" i="1"/>
  <c r="Z183" i="1"/>
  <c r="Z178" i="1"/>
  <c r="Z173" i="1"/>
  <c r="Z163" i="1"/>
  <c r="Z164" i="1"/>
  <c r="Z165" i="1"/>
  <c r="Z143" i="1"/>
  <c r="Z144" i="1"/>
  <c r="Z124" i="1"/>
  <c r="Z119" i="1"/>
  <c r="Z113" i="1"/>
  <c r="Z114" i="1"/>
  <c r="Z91" i="1"/>
  <c r="Z92" i="1"/>
  <c r="Z93" i="1"/>
  <c r="Z89" i="1"/>
  <c r="Z78" i="1"/>
  <c r="Z79" i="1"/>
  <c r="Z67" i="1"/>
  <c r="Z68" i="1"/>
  <c r="Z69" i="1"/>
  <c r="Z61" i="1"/>
  <c r="Z53" i="1"/>
  <c r="Z54" i="1"/>
  <c r="Z44" i="1"/>
  <c r="Z41" i="1"/>
  <c r="Z37" i="1"/>
  <c r="Z35" i="1"/>
  <c r="Z32" i="1"/>
  <c r="Z14" i="1"/>
  <c r="Z299" i="1"/>
  <c r="Z205" i="1"/>
  <c r="Z203" i="1"/>
  <c r="Z136" i="1"/>
  <c r="Z125" i="1"/>
  <c r="Z80" i="1"/>
  <c r="Z28" i="1"/>
  <c r="Z12" i="1"/>
  <c r="Z9" i="1"/>
  <c r="Z356" i="1"/>
  <c r="Z332" i="1"/>
  <c r="Z333" i="1"/>
  <c r="Z320" i="1"/>
  <c r="Z300" i="1"/>
  <c r="Z301" i="1"/>
  <c r="Z294" i="1"/>
  <c r="Z285" i="1"/>
  <c r="Z265" i="1"/>
  <c r="Z256" i="1"/>
  <c r="Z253" i="1"/>
  <c r="Z250" i="1"/>
  <c r="Z242" i="1"/>
  <c r="Z229" i="1"/>
  <c r="Z216" i="1"/>
  <c r="Z206" i="1"/>
  <c r="Z184" i="1"/>
  <c r="Z185" i="1"/>
  <c r="Z186" i="1"/>
  <c r="Z187" i="1"/>
  <c r="Z176" i="1"/>
  <c r="Z166" i="1"/>
  <c r="Z167" i="1"/>
  <c r="Z153" i="1"/>
  <c r="Z149" i="1"/>
  <c r="Z145" i="1"/>
  <c r="Z137" i="1"/>
  <c r="Z133" i="1"/>
  <c r="Z126" i="1"/>
  <c r="Z120" i="1"/>
  <c r="Z115" i="1"/>
  <c r="Z111" i="1"/>
  <c r="Z96" i="1"/>
  <c r="Z97" i="1"/>
  <c r="Z90" i="1"/>
  <c r="Z81" i="1"/>
  <c r="Z82" i="1"/>
  <c r="Z62" i="1"/>
  <c r="Z63" i="1"/>
  <c r="Z55" i="1"/>
  <c r="Z56" i="1"/>
  <c r="Z45" i="1"/>
  <c r="Z46" i="1"/>
  <c r="Z42" i="1"/>
  <c r="Z43" i="1"/>
  <c r="Z38" i="1"/>
  <c r="Z30" i="1"/>
  <c r="Z21" i="1"/>
  <c r="Z22" i="1"/>
  <c r="Z23" i="1"/>
  <c r="Z24" i="1"/>
  <c r="Z15" i="1"/>
  <c r="Z7" i="1"/>
  <c r="Z243" i="1"/>
  <c r="Z234" i="1"/>
  <c r="Z217" i="1"/>
  <c r="Z207" i="1"/>
  <c r="Z198" i="1"/>
  <c r="Z154" i="1"/>
  <c r="Z146" i="1"/>
  <c r="Z127" i="1"/>
  <c r="Z128" i="1"/>
  <c r="Z116" i="1"/>
  <c r="Z98" i="1"/>
  <c r="Z99" i="1"/>
  <c r="Z100" i="1"/>
  <c r="Z87" i="1"/>
  <c r="Z83" i="1"/>
  <c r="Z72" i="1"/>
  <c r="Z57" i="1"/>
  <c r="Z49" i="1"/>
  <c r="Z47" i="1"/>
  <c r="Z39" i="1"/>
  <c r="Z33" i="1"/>
  <c r="Z31" i="1"/>
  <c r="Z29" i="1"/>
  <c r="Z25" i="1"/>
  <c r="Z20" i="1"/>
  <c r="Z16" i="1"/>
  <c r="Z11" i="1"/>
  <c r="Z10" i="1"/>
  <c r="Z6" i="1"/>
  <c r="Z615" i="1"/>
  <c r="Z586" i="1"/>
  <c r="Z587" i="1"/>
  <c r="Z565" i="1"/>
  <c r="Z555" i="1"/>
  <c r="Z545" i="1"/>
  <c r="Z539" i="1"/>
  <c r="Z528" i="1"/>
  <c r="Z502" i="1"/>
  <c r="Z498" i="1"/>
  <c r="Z488" i="1"/>
  <c r="Z483" i="1"/>
  <c r="Z484" i="1"/>
  <c r="Z467" i="1"/>
  <c r="Z468" i="1"/>
  <c r="Z469" i="1"/>
  <c r="Z455" i="1"/>
  <c r="Z439" i="1"/>
  <c r="Z440" i="1"/>
  <c r="Z433" i="1"/>
  <c r="Z398" i="1"/>
  <c r="Z382" i="1"/>
  <c r="Z368" i="1"/>
  <c r="Z334" i="1"/>
  <c r="Z335" i="1"/>
  <c r="Z316" i="1"/>
  <c r="Z302" i="1"/>
  <c r="Z286" i="1"/>
  <c r="Z267" i="1"/>
  <c r="Z268" i="1"/>
  <c r="Z257" i="1"/>
  <c r="Z251" i="1"/>
  <c r="Z244" i="1"/>
  <c r="Z245" i="1"/>
  <c r="Z188" i="1"/>
  <c r="Z177" i="1"/>
  <c r="Z174" i="1"/>
  <c r="Z168" i="1"/>
  <c r="Z155" i="1"/>
  <c r="Z134" i="1"/>
  <c r="Z129" i="1"/>
  <c r="Z84" i="1"/>
  <c r="Z794" i="1"/>
  <c r="Z765" i="1"/>
  <c r="Z756" i="1"/>
  <c r="Z745" i="1"/>
  <c r="Z732" i="1"/>
  <c r="Z727" i="1"/>
  <c r="Z728" i="1"/>
  <c r="Z715" i="1"/>
  <c r="Z702" i="1"/>
  <c r="Z703" i="1"/>
  <c r="Z687" i="1"/>
  <c r="Z662" i="1"/>
  <c r="Z663" i="1"/>
  <c r="Z664" i="1"/>
  <c r="Z659" i="1"/>
  <c r="Z658" i="1"/>
  <c r="Z625" i="1"/>
  <c r="Z626" i="1"/>
  <c r="Z616" i="1"/>
  <c r="Z612" i="1"/>
  <c r="Z603" i="1"/>
  <c r="Z604" i="1"/>
  <c r="Z605" i="1"/>
  <c r="Z599" i="1"/>
  <c r="Z588" i="1"/>
  <c r="Z578" i="1"/>
  <c r="Z566" i="1"/>
  <c r="Z567" i="1"/>
  <c r="Z558" i="1"/>
  <c r="Z559" i="1"/>
  <c r="Z546" i="1"/>
  <c r="Z547" i="1"/>
  <c r="Z548" i="1"/>
  <c r="Z549" i="1"/>
  <c r="Z529" i="1"/>
  <c r="Z530" i="1"/>
  <c r="Z507" i="1"/>
  <c r="Z508" i="1"/>
  <c r="Z509" i="1"/>
  <c r="Z479" i="1"/>
  <c r="Z464" i="1"/>
  <c r="Z441" i="1"/>
  <c r="Z442" i="1"/>
  <c r="Z443" i="1"/>
  <c r="Z444" i="1"/>
  <c r="Z432" i="1"/>
  <c r="Z423" i="1"/>
  <c r="Z424" i="1"/>
  <c r="Z425" i="1"/>
  <c r="Z420" i="1"/>
  <c r="Z400" i="1"/>
  <c r="Z401" i="1"/>
  <c r="Z395" i="1"/>
  <c r="Z383" i="1"/>
  <c r="Z369" i="1"/>
  <c r="Z357" i="1"/>
  <c r="Z346" i="1"/>
  <c r="Z336" i="1"/>
  <c r="Z303" i="1"/>
  <c r="Z787" i="1"/>
  <c r="Z781" i="1"/>
  <c r="Z766" i="1"/>
  <c r="Z752" i="1"/>
  <c r="Z747" i="1"/>
  <c r="Z738" i="1"/>
  <c r="Z726" i="1"/>
  <c r="Z723" i="1"/>
  <c r="Z724" i="1"/>
  <c r="Z704" i="1"/>
  <c r="Z705" i="1"/>
  <c r="Z706" i="1"/>
  <c r="Z688" i="1"/>
  <c r="Z689" i="1"/>
  <c r="Z672" i="1"/>
  <c r="Z673" i="1"/>
  <c r="Z646" i="1"/>
  <c r="Z647" i="1"/>
  <c r="Z634" i="1"/>
  <c r="Z589" i="1"/>
  <c r="Z590" i="1"/>
  <c r="Z580" i="1"/>
  <c r="Z581" i="1"/>
  <c r="Z568" i="1"/>
  <c r="Z531" i="1"/>
  <c r="Z510" i="1"/>
  <c r="Z494" i="1"/>
  <c r="Z445" i="1"/>
  <c r="Z408" i="1"/>
  <c r="Z384" i="1"/>
  <c r="Z252" i="1"/>
  <c r="Z690" i="1"/>
  <c r="Z651" i="1"/>
  <c r="Z617" i="1"/>
  <c r="Z597" i="1"/>
  <c r="Z511" i="1"/>
  <c r="Z470" i="1"/>
  <c r="Z457" i="1"/>
  <c r="Z446" i="1"/>
  <c r="Z426" i="1"/>
  <c r="Z417" i="1"/>
  <c r="Z409" i="1"/>
  <c r="Z410" i="1"/>
  <c r="Z385" i="1"/>
  <c r="Z386" i="1"/>
  <c r="Z358" i="1"/>
  <c r="Z359" i="1"/>
  <c r="Z344" i="1"/>
  <c r="Z337" i="1"/>
  <c r="Z338" i="1"/>
  <c r="Z321" i="1"/>
  <c r="Z287" i="1"/>
  <c r="Z269" i="1"/>
  <c r="Z270" i="1"/>
  <c r="Z258" i="1"/>
  <c r="Z246" i="1"/>
  <c r="Z211" i="1"/>
  <c r="Z169" i="1"/>
  <c r="Z130" i="1"/>
  <c r="Z108" i="1"/>
  <c r="Z101" i="1"/>
  <c r="Z48" i="1"/>
  <c r="Z856" i="1"/>
  <c r="Z855" i="1"/>
  <c r="Z854" i="1"/>
  <c r="Z853" i="1"/>
  <c r="Z852" i="1"/>
  <c r="Z851" i="1"/>
  <c r="Z850" i="1"/>
  <c r="Z848" i="1"/>
  <c r="Z845" i="1"/>
  <c r="Z841" i="1"/>
  <c r="Z842" i="1"/>
  <c r="Z843" i="1"/>
  <c r="Z839" i="1"/>
  <c r="Z840" i="1"/>
  <c r="Z836" i="1"/>
  <c r="Z834" i="1"/>
  <c r="Z832" i="1"/>
  <c r="Z829" i="1"/>
  <c r="Z822" i="1"/>
  <c r="Z819" i="1"/>
  <c r="Z820" i="1"/>
  <c r="Z817" i="1"/>
  <c r="Z815" i="1"/>
  <c r="Z811" i="1"/>
  <c r="Z808" i="1"/>
  <c r="Z805" i="1"/>
  <c r="Z799" i="1"/>
  <c r="Z800" i="1"/>
  <c r="Z801" i="1"/>
  <c r="Z802" i="1"/>
  <c r="Z796" i="1"/>
  <c r="Z791" i="1"/>
  <c r="Z775" i="1"/>
  <c r="Z776" i="1"/>
  <c r="Z777" i="1"/>
  <c r="Z759" i="1"/>
  <c r="Z739" i="1"/>
  <c r="Z680" i="1"/>
  <c r="Z665" i="1"/>
  <c r="Z788" i="1"/>
  <c r="Z778" i="1"/>
  <c r="Z771" i="1"/>
  <c r="Z767" i="1"/>
  <c r="Z768" i="1"/>
  <c r="Z754" i="1"/>
  <c r="Z753" i="1"/>
  <c r="Z746" i="1"/>
  <c r="Z729" i="1"/>
  <c r="Z725" i="1"/>
  <c r="Z716" i="1"/>
  <c r="Z717" i="1"/>
  <c r="Z707" i="1"/>
  <c r="Z695" i="1"/>
  <c r="Z691" i="1"/>
  <c r="Z679" i="1"/>
  <c r="Z674" i="1"/>
  <c r="Z675" i="1"/>
  <c r="Z666" i="1"/>
  <c r="Z657" i="1"/>
  <c r="Z635" i="1"/>
  <c r="Z627" i="1"/>
  <c r="Z628" i="1"/>
  <c r="Z619" i="1"/>
  <c r="Z606" i="1"/>
  <c r="Z607" i="1"/>
  <c r="Z575" i="1"/>
  <c r="Z569" i="1"/>
  <c r="Z562" i="1"/>
  <c r="Z541" i="1"/>
  <c r="Z512" i="1"/>
  <c r="Z495" i="1"/>
  <c r="Z458" i="1"/>
  <c r="Z456" i="1"/>
  <c r="Z418" i="1"/>
  <c r="Z397" i="1"/>
  <c r="Z387" i="1"/>
  <c r="Z370" i="1"/>
  <c r="Z360" i="1"/>
  <c r="Z347" i="1"/>
  <c r="Z591" i="1"/>
  <c r="Z570" i="1"/>
  <c r="Z513" i="1"/>
  <c r="Z447" i="1"/>
  <c r="Z427" i="1"/>
  <c r="Z428" i="1"/>
  <c r="Z411" i="1"/>
  <c r="Z388" i="1"/>
  <c r="Z389" i="1"/>
  <c r="Z376" i="1"/>
  <c r="Z372" i="1"/>
  <c r="Z361" i="1"/>
  <c r="Z343" i="1"/>
  <c r="Z339" i="1"/>
  <c r="Z317" i="1"/>
  <c r="Z318" i="1"/>
  <c r="Z310" i="1"/>
  <c r="Z304" i="1"/>
  <c r="Z305" i="1"/>
  <c r="Z295" i="1"/>
  <c r="Z288" i="1"/>
  <c r="Z289" i="1"/>
  <c r="Z259" i="1"/>
  <c r="Z260" i="1"/>
  <c r="Z261" i="1"/>
  <c r="Z238" i="1"/>
  <c r="Z235" i="1"/>
  <c r="Z218" i="1"/>
  <c r="Z219" i="1"/>
  <c r="Z212" i="1"/>
  <c r="Z208" i="1"/>
  <c r="Z209" i="1"/>
  <c r="Z189" i="1"/>
  <c r="Z158" i="1"/>
  <c r="Z156" i="1"/>
  <c r="Z147" i="1"/>
  <c r="Z138" i="1"/>
  <c r="Z131" i="1"/>
  <c r="Z109" i="1"/>
  <c r="Z102" i="1"/>
  <c r="Z94" i="1"/>
  <c r="Z73" i="1"/>
  <c r="Z844" i="1"/>
  <c r="Z813" i="1"/>
  <c r="Z812" i="1"/>
  <c r="Z803" i="1"/>
  <c r="Z790" i="1"/>
  <c r="Z789" i="1"/>
  <c r="Z782" i="1"/>
  <c r="Z779" i="1"/>
  <c r="Z780" i="1"/>
  <c r="Z760" i="1"/>
  <c r="Z757" i="1"/>
  <c r="Z740" i="1"/>
  <c r="Z741" i="1"/>
  <c r="Z742" i="1"/>
  <c r="Z734" i="1"/>
  <c r="Z733" i="1"/>
  <c r="Z718" i="1"/>
  <c r="Z719" i="1"/>
  <c r="Z708" i="1"/>
  <c r="Z709" i="1"/>
  <c r="Z681" i="1"/>
  <c r="Z667" i="1"/>
  <c r="Z668" i="1"/>
  <c r="Z669" i="1"/>
  <c r="Z653" i="1"/>
  <c r="Z654" i="1"/>
  <c r="Z655" i="1"/>
  <c r="Z648" i="1"/>
  <c r="Z649" i="1"/>
  <c r="Z640" i="1"/>
  <c r="Z638" i="1"/>
  <c r="Z629" i="1"/>
  <c r="Z613" i="1"/>
  <c r="Z608" i="1"/>
  <c r="Z579" i="1"/>
  <c r="Z514" i="1"/>
  <c r="Z515" i="1"/>
  <c r="Z503" i="1"/>
  <c r="Z489" i="1"/>
  <c r="Z481" i="1"/>
  <c r="Z471" i="1"/>
  <c r="Z390" i="1"/>
  <c r="Z231" i="1"/>
  <c r="Z135" i="1"/>
  <c r="Z58" i="1"/>
  <c r="Z710" i="1"/>
  <c r="Z692" i="1"/>
  <c r="Z693" i="1"/>
  <c r="Z676" i="1"/>
  <c r="Z630" i="1"/>
  <c r="Z631" i="1"/>
  <c r="Z609" i="1"/>
  <c r="Z571" i="1"/>
  <c r="Z550" i="1"/>
  <c r="Z516" i="1"/>
  <c r="Z496" i="1"/>
  <c r="Z459" i="1"/>
  <c r="Z448" i="1"/>
  <c r="Z429" i="1"/>
  <c r="Z412" i="1"/>
  <c r="Z391" i="1"/>
  <c r="Z362" i="1"/>
  <c r="Z363" i="1"/>
  <c r="Z364" i="1"/>
  <c r="Z319" i="1"/>
  <c r="Z306" i="1"/>
  <c r="Z290" i="1"/>
  <c r="Z262" i="1"/>
  <c r="Z210" i="1"/>
  <c r="Z190" i="1"/>
  <c r="Z139" i="1"/>
  <c r="Z110" i="1"/>
  <c r="Z730" i="1"/>
  <c r="Z711" i="1"/>
  <c r="Z694" i="1"/>
  <c r="Z677" i="1"/>
  <c r="Z670" i="1"/>
  <c r="Z632" i="1"/>
  <c r="Z633" i="1"/>
  <c r="Z592" i="1"/>
  <c r="Z593" i="1"/>
  <c r="Z594" i="1"/>
  <c r="Z572" i="1"/>
  <c r="Z560" i="1"/>
  <c r="Z551" i="1"/>
  <c r="Z552" i="1"/>
  <c r="Z553" i="1"/>
  <c r="Z517" i="1"/>
  <c r="Z518" i="1"/>
  <c r="Z499" i="1"/>
  <c r="Z497" i="1"/>
  <c r="Z480" i="1"/>
  <c r="Z472" i="1"/>
  <c r="Z473" i="1"/>
  <c r="Z474" i="1"/>
  <c r="Z460" i="1"/>
  <c r="Z449" i="1"/>
  <c r="Z430" i="1"/>
  <c r="Z431" i="1"/>
  <c r="Z392" i="1"/>
  <c r="Z365" i="1"/>
  <c r="Z366" i="1"/>
  <c r="Z367" i="1"/>
  <c r="Z348" i="1"/>
  <c r="Z322" i="1"/>
  <c r="Z266" i="1"/>
  <c r="Z773" i="1"/>
  <c r="Z755" i="1"/>
  <c r="Z748" i="1"/>
  <c r="Z749" i="1"/>
  <c r="Z743" i="1"/>
  <c r="Z731" i="1"/>
  <c r="Z698" i="1"/>
  <c r="Z678" i="1"/>
  <c r="Z650" i="1"/>
  <c r="Z595" i="1"/>
  <c r="Z596" i="1"/>
  <c r="Z521" i="1"/>
  <c r="Z538" i="1"/>
  <c r="Z519" i="1"/>
  <c r="Z475" i="1"/>
  <c r="Z450" i="1"/>
  <c r="Z393" i="1"/>
  <c r="Z394" i="1"/>
  <c r="Z374" i="1"/>
  <c r="Z349" i="1"/>
  <c r="Z312" i="1"/>
  <c r="Z307" i="1"/>
  <c r="Z308" i="1"/>
  <c r="Z293" i="1"/>
  <c r="Z273" i="1"/>
  <c r="Z271" i="1"/>
  <c r="Z255" i="1"/>
  <c r="Z247" i="1"/>
  <c r="Z248" i="1"/>
  <c r="Z236" i="1"/>
  <c r="Z237" i="1"/>
  <c r="Z225" i="1"/>
  <c r="Z226" i="1"/>
  <c r="Z220" i="1"/>
  <c r="Z221" i="1"/>
  <c r="Z222" i="1"/>
  <c r="Z202" i="1"/>
  <c r="Z199" i="1"/>
  <c r="Z191" i="1"/>
  <c r="Z192" i="1"/>
  <c r="Z170" i="1"/>
  <c r="Z171" i="1"/>
  <c r="Z159" i="1"/>
  <c r="Z148" i="1"/>
  <c r="Z140" i="1"/>
  <c r="Z132" i="1"/>
  <c r="Z121" i="1"/>
  <c r="Z117" i="1"/>
  <c r="Z118" i="1"/>
  <c r="Z103" i="1"/>
  <c r="Z104" i="1"/>
  <c r="Z59" i="1"/>
  <c r="Z50" i="1"/>
  <c r="Z769" i="1"/>
  <c r="Z770" i="1"/>
  <c r="Z750" i="1"/>
  <c r="Z751" i="1"/>
  <c r="Z720" i="1"/>
  <c r="Z712" i="1"/>
  <c r="Z501" i="1"/>
  <c r="Z461" i="1"/>
  <c r="Z309" i="1"/>
  <c r="Z291" i="1"/>
  <c r="Z272" i="1"/>
  <c r="Z254" i="1"/>
  <c r="Z223" i="1"/>
  <c r="Z224" i="1"/>
  <c r="Z160" i="1"/>
  <c r="Z112" i="1"/>
  <c r="Z105" i="1"/>
  <c r="Z641" i="1"/>
  <c r="Z573" i="1"/>
  <c r="Z554" i="1"/>
  <c r="Z532" i="1"/>
  <c r="Z520" i="1"/>
  <c r="Z476" i="1"/>
  <c r="Z465" i="1"/>
  <c r="Z451" i="1"/>
  <c r="Z373" i="1"/>
  <c r="Z351" i="1"/>
  <c r="Z350" i="1"/>
  <c r="Z477" i="1"/>
  <c r="Z413" i="1"/>
  <c r="Z375" i="1"/>
  <c r="Z340" i="1"/>
  <c r="Z341" i="1"/>
  <c r="Z263" i="1"/>
  <c r="Z264" i="1"/>
  <c r="Z230" i="1"/>
  <c r="Z227" i="1"/>
  <c r="Z193" i="1"/>
  <c r="Z194" i="1"/>
  <c r="Z195" i="1"/>
  <c r="Z196" i="1"/>
  <c r="Z141" i="1"/>
  <c r="Z122" i="1"/>
  <c r="Z106" i="1"/>
  <c r="Z95" i="1"/>
  <c r="Z88" i="1"/>
  <c r="Z85" i="1"/>
  <c r="Z51" i="1"/>
  <c r="Z34" i="1"/>
  <c r="Z26" i="1"/>
  <c r="Z17" i="1"/>
  <c r="Z8" i="1"/>
  <c r="W196" i="1"/>
  <c r="W95" i="1"/>
  <c r="W34" i="1"/>
  <c r="W106" i="1"/>
  <c r="W375" i="1"/>
  <c r="W341" i="1"/>
  <c r="W264" i="1"/>
  <c r="W230" i="1"/>
  <c r="W227" i="1"/>
  <c r="W340" i="1"/>
  <c r="W195" i="1"/>
  <c r="W194" i="1"/>
  <c r="W122" i="1"/>
  <c r="W85" i="1"/>
  <c r="W51" i="1"/>
  <c r="W26" i="1"/>
  <c r="W8" i="1"/>
  <c r="W193" i="1"/>
  <c r="W88" i="1"/>
  <c r="W141" i="1"/>
  <c r="W17" i="1"/>
  <c r="W477" i="1"/>
  <c r="W413" i="1"/>
  <c r="W263" i="1"/>
  <c r="W554" i="1"/>
  <c r="W465" i="1"/>
  <c r="W373" i="1"/>
  <c r="W451" i="1"/>
  <c r="W350" i="1"/>
  <c r="W532" i="1"/>
  <c r="W520" i="1"/>
  <c r="W351" i="1"/>
  <c r="W476" i="1"/>
  <c r="W573" i="1"/>
  <c r="W641" i="1"/>
  <c r="W770" i="1"/>
  <c r="W720" i="1"/>
  <c r="W751" i="1"/>
  <c r="W769" i="1"/>
  <c r="W712" i="1"/>
  <c r="W750" i="1"/>
  <c r="W254" i="1"/>
  <c r="W461" i="1"/>
  <c r="W272" i="1"/>
  <c r="W501" i="1"/>
  <c r="W224" i="1"/>
  <c r="W309" i="1"/>
  <c r="W160" i="1"/>
  <c r="W291" i="1"/>
  <c r="W105" i="1"/>
  <c r="W112" i="1"/>
  <c r="W223" i="1"/>
  <c r="W394" i="1"/>
  <c r="W312" i="1"/>
  <c r="W237" i="1"/>
  <c r="W271" i="1"/>
  <c r="W140" i="1"/>
  <c r="W248" i="1"/>
  <c r="W159" i="1"/>
  <c r="W202" i="1"/>
  <c r="W255" i="1"/>
  <c r="W308" i="1"/>
  <c r="W349" i="1"/>
  <c r="W307" i="1"/>
  <c r="W192" i="1"/>
  <c r="W59" i="1"/>
  <c r="W247" i="1"/>
  <c r="W171" i="1"/>
  <c r="W104" i="1"/>
  <c r="W50" i="1"/>
  <c r="W222" i="1"/>
  <c r="W191" i="1"/>
  <c r="W132" i="1"/>
  <c r="W121" i="1"/>
  <c r="W450" i="1"/>
  <c r="W393" i="1"/>
  <c r="W221" i="1"/>
  <c r="W199" i="1"/>
  <c r="W118" i="1"/>
  <c r="W293" i="1"/>
  <c r="W236" i="1"/>
  <c r="W226" i="1"/>
  <c r="W170" i="1"/>
  <c r="W103" i="1"/>
  <c r="W148" i="1"/>
  <c r="W117" i="1"/>
  <c r="W538" i="1"/>
  <c r="W519" i="1"/>
  <c r="W475" i="1"/>
  <c r="W225" i="1"/>
  <c r="W374" i="1"/>
  <c r="W220" i="1"/>
  <c r="W273" i="1"/>
  <c r="W650" i="1"/>
  <c r="W521" i="1"/>
  <c r="W596" i="1"/>
  <c r="W595" i="1"/>
  <c r="W678" i="1"/>
  <c r="W749" i="1"/>
  <c r="W698" i="1"/>
  <c r="W731" i="1"/>
  <c r="W748" i="1"/>
  <c r="W773" i="1"/>
  <c r="W743" i="1"/>
  <c r="W755" i="1"/>
  <c r="W392" i="1"/>
  <c r="W553" i="1"/>
  <c r="W694" i="1"/>
  <c r="W711" i="1"/>
  <c r="W677" i="1"/>
  <c r="W730" i="1"/>
  <c r="W431" i="1"/>
  <c r="W499" i="1"/>
  <c r="W572" i="1"/>
  <c r="W474" i="1"/>
  <c r="W594" i="1"/>
  <c r="W367" i="1"/>
  <c r="W473" i="1"/>
  <c r="W593" i="1"/>
  <c r="W633" i="1"/>
  <c r="W592" i="1"/>
  <c r="W266" i="1"/>
  <c r="W366" i="1"/>
  <c r="W348" i="1"/>
  <c r="W365" i="1"/>
  <c r="W449" i="1"/>
  <c r="W518" i="1"/>
  <c r="W552" i="1"/>
  <c r="W632" i="1"/>
  <c r="W560" i="1"/>
  <c r="W670" i="1"/>
  <c r="W322" i="1"/>
  <c r="W430" i="1"/>
  <c r="W472" i="1"/>
  <c r="W551" i="1"/>
  <c r="W460" i="1"/>
  <c r="W497" i="1"/>
  <c r="W480" i="1"/>
  <c r="W517" i="1"/>
  <c r="W496" i="1"/>
  <c r="W609" i="1"/>
  <c r="W459" i="1"/>
  <c r="W319" i="1"/>
  <c r="W429" i="1"/>
  <c r="W516" i="1"/>
  <c r="W290" i="1"/>
  <c r="W364" i="1"/>
  <c r="W631" i="1"/>
  <c r="W391" i="1"/>
  <c r="W571" i="1"/>
  <c r="W550" i="1"/>
  <c r="W693" i="1"/>
  <c r="W630" i="1"/>
  <c r="W710" i="1"/>
  <c r="W262" i="1"/>
  <c r="W363" i="1"/>
  <c r="W210" i="1"/>
  <c r="W306" i="1"/>
  <c r="W448" i="1"/>
  <c r="W692" i="1"/>
  <c r="W362" i="1"/>
  <c r="W412" i="1"/>
  <c r="W110" i="1"/>
  <c r="W190" i="1"/>
  <c r="W139" i="1"/>
  <c r="W676" i="1"/>
  <c r="W655" i="1"/>
  <c r="W719" i="1"/>
  <c r="W681" i="1"/>
  <c r="W638" i="1"/>
  <c r="W669" i="1"/>
  <c r="W231" i="1"/>
  <c r="W135" i="1"/>
  <c r="W734" i="1"/>
  <c r="W733" i="1"/>
  <c r="W654" i="1"/>
  <c r="W742" i="1"/>
  <c r="W709" i="1"/>
  <c r="W503" i="1"/>
  <c r="W579" i="1"/>
  <c r="W653" i="1"/>
  <c r="W668" i="1"/>
  <c r="W649" i="1"/>
  <c r="W515" i="1"/>
  <c r="W640" i="1"/>
  <c r="W648" i="1"/>
  <c r="W757" i="1"/>
  <c r="W514" i="1"/>
  <c r="W780" i="1"/>
  <c r="W481" i="1"/>
  <c r="W803" i="1"/>
  <c r="W789" i="1"/>
  <c r="W489" i="1"/>
  <c r="W813" i="1"/>
  <c r="W790" i="1"/>
  <c r="W812" i="1"/>
  <c r="W629" i="1"/>
  <c r="W613" i="1"/>
  <c r="W708" i="1"/>
  <c r="W667" i="1"/>
  <c r="W741" i="1"/>
  <c r="W740" i="1"/>
  <c r="W844" i="1"/>
  <c r="W782" i="1"/>
  <c r="W471" i="1"/>
  <c r="W390" i="1"/>
  <c r="W58" i="1"/>
  <c r="W760" i="1"/>
  <c r="W718" i="1"/>
  <c r="W608" i="1"/>
  <c r="W779" i="1"/>
  <c r="W212" i="1"/>
  <c r="W318" i="1"/>
  <c r="W317" i="1"/>
  <c r="W428" i="1"/>
  <c r="W158" i="1"/>
  <c r="W219" i="1"/>
  <c r="W238" i="1"/>
  <c r="W289" i="1"/>
  <c r="W310" i="1"/>
  <c r="W376" i="1"/>
  <c r="W372" i="1"/>
  <c r="W261" i="1"/>
  <c r="W305" i="1"/>
  <c r="W427" i="1"/>
  <c r="W570" i="1"/>
  <c r="W288" i="1"/>
  <c r="W389" i="1"/>
  <c r="W218" i="1"/>
  <c r="W304" i="1"/>
  <c r="W295" i="1"/>
  <c r="W361" i="1"/>
  <c r="W209" i="1"/>
  <c r="W260" i="1"/>
  <c r="W447" i="1"/>
  <c r="W591" i="1"/>
  <c r="W235" i="1"/>
  <c r="W388" i="1"/>
  <c r="W339" i="1"/>
  <c r="W411" i="1"/>
  <c r="W208" i="1"/>
  <c r="W259" i="1"/>
  <c r="W513" i="1"/>
  <c r="W343" i="1"/>
  <c r="W138" i="1"/>
  <c r="W189" i="1"/>
  <c r="W102" i="1"/>
  <c r="W147" i="1"/>
  <c r="W94" i="1"/>
  <c r="W131" i="1"/>
  <c r="W73" i="1"/>
  <c r="W109" i="1"/>
  <c r="W156" i="1"/>
  <c r="W691" i="1"/>
  <c r="W729" i="1"/>
  <c r="W725" i="1"/>
  <c r="W753" i="1"/>
  <c r="W778" i="1"/>
  <c r="W768" i="1"/>
  <c r="W495" i="1"/>
  <c r="W458" i="1"/>
  <c r="W562" i="1"/>
  <c r="W512" i="1"/>
  <c r="W569" i="1"/>
  <c r="W607" i="1"/>
  <c r="W767" i="1"/>
  <c r="W675" i="1"/>
  <c r="W707" i="1"/>
  <c r="W754" i="1"/>
  <c r="W635" i="1"/>
  <c r="W679" i="1"/>
  <c r="W771" i="1"/>
  <c r="W788" i="1"/>
  <c r="W619" i="1"/>
  <c r="W695" i="1"/>
  <c r="W606" i="1"/>
  <c r="W360" i="1"/>
  <c r="W666" i="1"/>
  <c r="W717" i="1"/>
  <c r="W657" i="1"/>
  <c r="W716" i="1"/>
  <c r="W418" i="1"/>
  <c r="W575" i="1"/>
  <c r="W628" i="1"/>
  <c r="W347" i="1"/>
  <c r="W387" i="1"/>
  <c r="W456" i="1"/>
  <c r="W370" i="1"/>
  <c r="W397" i="1"/>
  <c r="W541" i="1"/>
  <c r="W627" i="1"/>
  <c r="W674" i="1"/>
  <c r="W746" i="1"/>
  <c r="W843" i="1"/>
  <c r="W856" i="1"/>
  <c r="W840" i="1"/>
  <c r="W853" i="1"/>
  <c r="W854" i="1"/>
  <c r="W842" i="1"/>
  <c r="W834" i="1"/>
  <c r="W851" i="1"/>
  <c r="W845" i="1"/>
  <c r="W815" i="1"/>
  <c r="W796" i="1"/>
  <c r="W791" i="1"/>
  <c r="W848" i="1"/>
  <c r="W829" i="1"/>
  <c r="W802" i="1"/>
  <c r="W811" i="1"/>
  <c r="W777" i="1"/>
  <c r="W805" i="1"/>
  <c r="W808" i="1"/>
  <c r="W739" i="1"/>
  <c r="W776" i="1"/>
  <c r="W820" i="1"/>
  <c r="W775" i="1"/>
  <c r="W841" i="1"/>
  <c r="W839" i="1"/>
  <c r="W817" i="1"/>
  <c r="W665" i="1"/>
  <c r="W759" i="1"/>
  <c r="W680" i="1"/>
  <c r="W832" i="1"/>
  <c r="W801" i="1"/>
  <c r="W850" i="1"/>
  <c r="W852" i="1"/>
  <c r="W855" i="1"/>
  <c r="W836" i="1"/>
  <c r="W819" i="1"/>
  <c r="W800" i="1"/>
  <c r="W799" i="1"/>
  <c r="W822" i="1"/>
  <c r="W246" i="1"/>
  <c r="W270" i="1"/>
  <c r="W321" i="1"/>
  <c r="W410" i="1"/>
  <c r="W344" i="1"/>
  <c r="W457" i="1"/>
  <c r="W651" i="1"/>
  <c r="W690" i="1"/>
  <c r="W338" i="1"/>
  <c r="W417" i="1"/>
  <c r="W386" i="1"/>
  <c r="W385" i="1"/>
  <c r="W409" i="1"/>
  <c r="W597" i="1"/>
  <c r="W359" i="1"/>
  <c r="W269" i="1"/>
  <c r="W426" i="1"/>
  <c r="W211" i="1"/>
  <c r="W108" i="1"/>
  <c r="W470" i="1"/>
  <c r="W617" i="1"/>
  <c r="W130" i="1"/>
  <c r="W258" i="1"/>
  <c r="W48" i="1"/>
  <c r="W101" i="1"/>
  <c r="W337" i="1"/>
  <c r="W446" i="1"/>
  <c r="W169" i="1"/>
  <c r="W287" i="1"/>
  <c r="W358" i="1"/>
  <c r="W511" i="1"/>
  <c r="W634" i="1"/>
  <c r="W706" i="1"/>
  <c r="W738" i="1"/>
  <c r="W590" i="1"/>
  <c r="W673" i="1"/>
  <c r="W445" i="1"/>
  <c r="W589" i="1"/>
  <c r="W787" i="1"/>
  <c r="W705" i="1"/>
  <c r="W704" i="1"/>
  <c r="W724" i="1"/>
  <c r="W723" i="1"/>
  <c r="W752" i="1"/>
  <c r="W647" i="1"/>
  <c r="W689" i="1"/>
  <c r="W781" i="1"/>
  <c r="W726" i="1"/>
  <c r="W766" i="1"/>
  <c r="W494" i="1"/>
  <c r="W568" i="1"/>
  <c r="W581" i="1"/>
  <c r="W688" i="1"/>
  <c r="W510" i="1"/>
  <c r="W646" i="1"/>
  <c r="W580" i="1"/>
  <c r="W672" i="1"/>
  <c r="W747" i="1"/>
  <c r="W252" i="1"/>
  <c r="W384" i="1"/>
  <c r="W408" i="1"/>
  <c r="W531" i="1"/>
  <c r="W605" i="1"/>
  <c r="W703" i="1"/>
  <c r="W530" i="1"/>
  <c r="W420" i="1"/>
  <c r="W395" i="1"/>
  <c r="W559" i="1"/>
  <c r="W432" i="1"/>
  <c r="W549" i="1"/>
  <c r="W401" i="1"/>
  <c r="W548" i="1"/>
  <c r="W715" i="1"/>
  <c r="W728" i="1"/>
  <c r="W444" i="1"/>
  <c r="W664" i="1"/>
  <c r="W616" i="1"/>
  <c r="W547" i="1"/>
  <c r="W509" i="1"/>
  <c r="W346" i="1"/>
  <c r="W443" i="1"/>
  <c r="W529" i="1"/>
  <c r="W442" i="1"/>
  <c r="W588" i="1"/>
  <c r="W425" i="1"/>
  <c r="W567" i="1"/>
  <c r="W599" i="1"/>
  <c r="W441" i="1"/>
  <c r="W464" i="1"/>
  <c r="W604" i="1"/>
  <c r="W603" i="1"/>
  <c r="W658" i="1"/>
  <c r="W336" i="1"/>
  <c r="W479" i="1"/>
  <c r="W566" i="1"/>
  <c r="W687" i="1"/>
  <c r="W702" i="1"/>
  <c r="W508" i="1"/>
  <c r="W546" i="1"/>
  <c r="W578" i="1"/>
  <c r="W383" i="1"/>
  <c r="W369" i="1"/>
  <c r="W424" i="1"/>
  <c r="W626" i="1"/>
  <c r="W663" i="1"/>
  <c r="W625" i="1"/>
  <c r="W659" i="1"/>
  <c r="W745" i="1"/>
  <c r="W765" i="1"/>
  <c r="W756" i="1"/>
  <c r="W794" i="1"/>
  <c r="W727" i="1"/>
  <c r="W662" i="1"/>
  <c r="W400" i="1"/>
  <c r="W303" i="1"/>
  <c r="W357" i="1"/>
  <c r="W732" i="1"/>
  <c r="W507" i="1"/>
  <c r="W612" i="1"/>
  <c r="W423" i="1"/>
  <c r="W558" i="1"/>
  <c r="W565" i="1"/>
  <c r="W545" i="1"/>
  <c r="W587" i="1"/>
  <c r="W129" i="1"/>
  <c r="W177" i="1"/>
  <c r="W433" i="1"/>
  <c r="W488" i="1"/>
  <c r="W168" i="1"/>
  <c r="W316" i="1"/>
  <c r="W484" i="1"/>
  <c r="W586" i="1"/>
  <c r="W498" i="1"/>
  <c r="W539" i="1"/>
  <c r="W440" i="1"/>
  <c r="W469" i="1"/>
  <c r="W268" i="1"/>
  <c r="W286" i="1"/>
  <c r="W257" i="1"/>
  <c r="W335" i="1"/>
  <c r="W555" i="1"/>
  <c r="W528" i="1"/>
  <c r="W188" i="1"/>
  <c r="W382" i="1"/>
  <c r="W267" i="1"/>
  <c r="W302" i="1"/>
  <c r="W251" i="1"/>
  <c r="W155" i="1"/>
  <c r="W245" i="1"/>
  <c r="W174" i="1"/>
  <c r="W244" i="1"/>
  <c r="W368" i="1"/>
  <c r="W334" i="1"/>
  <c r="W439" i="1"/>
  <c r="W615" i="1"/>
  <c r="W398" i="1"/>
  <c r="W468" i="1"/>
  <c r="W84" i="1"/>
  <c r="W134" i="1"/>
  <c r="W467" i="1"/>
  <c r="W455" i="1"/>
  <c r="W483" i="1"/>
  <c r="W502" i="1"/>
  <c r="W116" i="1"/>
  <c r="W39" i="1"/>
  <c r="W31" i="1"/>
  <c r="W128" i="1"/>
  <c r="W72" i="1"/>
  <c r="W33" i="1"/>
  <c r="W11" i="1"/>
  <c r="W6" i="1"/>
  <c r="W100" i="1"/>
  <c r="W57" i="1"/>
  <c r="W99" i="1"/>
  <c r="W47" i="1"/>
  <c r="W29" i="1"/>
  <c r="W20" i="1"/>
  <c r="W10" i="1"/>
  <c r="W234" i="1"/>
  <c r="W87" i="1"/>
  <c r="W98" i="1"/>
  <c r="W198" i="1"/>
  <c r="W217" i="1"/>
  <c r="W154" i="1"/>
  <c r="W127" i="1"/>
  <c r="W243" i="1"/>
  <c r="W49" i="1"/>
  <c r="W16" i="1"/>
  <c r="W207" i="1"/>
  <c r="W83" i="1"/>
  <c r="W25" i="1"/>
  <c r="W146" i="1"/>
  <c r="W133" i="1"/>
  <c r="W126" i="1"/>
  <c r="W46" i="1"/>
  <c r="W333" i="1"/>
  <c r="W253" i="1"/>
  <c r="W187" i="1"/>
  <c r="W137" i="1"/>
  <c r="W90" i="1"/>
  <c r="W250" i="1"/>
  <c r="W176" i="1"/>
  <c r="W82" i="1"/>
  <c r="W38" i="1"/>
  <c r="W24" i="1"/>
  <c r="W7" i="1"/>
  <c r="W56" i="1"/>
  <c r="W242" i="1"/>
  <c r="W97" i="1"/>
  <c r="W45" i="1"/>
  <c r="W23" i="1"/>
  <c r="W167" i="1"/>
  <c r="W115" i="1"/>
  <c r="W356" i="1"/>
  <c r="W332" i="1"/>
  <c r="W186" i="1"/>
  <c r="W206" i="1"/>
  <c r="W166" i="1"/>
  <c r="W301" i="1"/>
  <c r="W153" i="1"/>
  <c r="W285" i="1"/>
  <c r="W229" i="1"/>
  <c r="W43" i="1"/>
  <c r="W30" i="1"/>
  <c r="W256" i="1"/>
  <c r="W185" i="1"/>
  <c r="W320" i="1"/>
  <c r="W184" i="1"/>
  <c r="W111" i="1"/>
  <c r="W22" i="1"/>
  <c r="W294" i="1"/>
  <c r="W265" i="1"/>
  <c r="W120" i="1"/>
  <c r="W15" i="1"/>
  <c r="W145" i="1"/>
  <c r="W81" i="1"/>
  <c r="W63" i="1"/>
  <c r="W62" i="1"/>
  <c r="W55" i="1"/>
  <c r="W42" i="1"/>
  <c r="W21" i="1"/>
  <c r="W149" i="1"/>
  <c r="W96" i="1"/>
  <c r="W300" i="1"/>
  <c r="W216" i="1"/>
  <c r="W80" i="1"/>
  <c r="W9" i="1"/>
  <c r="W125" i="1"/>
  <c r="W28" i="1"/>
  <c r="W12" i="1"/>
  <c r="W203" i="1"/>
  <c r="W136" i="1"/>
  <c r="W299" i="1"/>
  <c r="W205" i="1"/>
  <c r="W61" i="1"/>
  <c r="W41" i="1"/>
  <c r="W183" i="1"/>
  <c r="W165" i="1"/>
  <c r="W182" i="1"/>
  <c r="W144" i="1"/>
  <c r="W54" i="1"/>
  <c r="W44" i="1"/>
  <c r="W164" i="1"/>
  <c r="W93" i="1"/>
  <c r="W173" i="1"/>
  <c r="W124" i="1"/>
  <c r="W284" i="1"/>
  <c r="W204" i="1"/>
  <c r="W79" i="1"/>
  <c r="W35" i="1"/>
  <c r="W283" i="1"/>
  <c r="W201" i="1"/>
  <c r="W92" i="1"/>
  <c r="W331" i="1"/>
  <c r="W178" i="1"/>
  <c r="W407" i="1"/>
  <c r="W298" i="1"/>
  <c r="W282" i="1"/>
  <c r="W89" i="1"/>
  <c r="W37" i="1"/>
  <c r="W611" i="1"/>
  <c r="W438" i="1"/>
  <c r="W399" i="1"/>
  <c r="W355" i="1"/>
  <c r="W330" i="1"/>
  <c r="W329" i="1"/>
  <c r="W281" i="1"/>
  <c r="W181" i="1"/>
  <c r="W437" i="1"/>
  <c r="W396" i="1"/>
  <c r="W32" i="1"/>
  <c r="W14" i="1"/>
  <c r="W91" i="1"/>
  <c r="W69" i="1"/>
  <c r="W163" i="1"/>
  <c r="W78" i="1"/>
  <c r="W119" i="1"/>
  <c r="W68" i="1"/>
  <c r="W143" i="1"/>
  <c r="W67" i="1"/>
  <c r="W114" i="1"/>
  <c r="W113" i="1"/>
  <c r="W53" i="1"/>
  <c r="W618" i="1"/>
  <c r="W786" i="1"/>
  <c r="W561" i="1"/>
  <c r="W639" i="1"/>
  <c r="W598" i="1"/>
  <c r="W585" i="1"/>
  <c r="W737" i="1"/>
  <c r="W614" i="1"/>
  <c r="W686" i="1"/>
  <c r="W624" i="1"/>
  <c r="W574" i="1"/>
  <c r="W722" i="1"/>
  <c r="W696" i="1"/>
  <c r="W764" i="1"/>
  <c r="W772" i="1"/>
  <c r="W377" i="1"/>
  <c r="W527" i="1"/>
  <c r="W406" i="1"/>
  <c r="W506" i="1"/>
  <c r="W602" i="1"/>
  <c r="W487" i="1"/>
  <c r="W601" i="1"/>
  <c r="W493" i="1"/>
  <c r="W637" i="1"/>
  <c r="W381" i="1"/>
  <c r="W544" i="1"/>
  <c r="W583" i="1"/>
  <c r="W556" i="1"/>
  <c r="W685" i="1"/>
  <c r="W416" i="1"/>
  <c r="W436" i="1"/>
  <c r="W280" i="1"/>
  <c r="W311" i="1"/>
  <c r="W152" i="1"/>
  <c r="W180" i="1"/>
  <c r="W200" i="1"/>
  <c r="W292" i="1"/>
  <c r="W36" i="1"/>
  <c r="W71" i="1"/>
  <c r="W279" i="1"/>
  <c r="W297" i="1"/>
  <c r="W315" i="1"/>
  <c r="W314" i="1"/>
  <c r="W241" i="1"/>
  <c r="W328" i="1"/>
  <c r="W584" i="1"/>
  <c r="W405" i="1"/>
  <c r="W278" i="1"/>
  <c r="W419" i="1"/>
  <c r="W526" i="1"/>
  <c r="W415" i="1"/>
  <c r="W215" i="1"/>
  <c r="W492" i="1"/>
  <c r="W435" i="1"/>
  <c r="W327" i="1"/>
  <c r="W326" i="1"/>
  <c r="W277" i="1"/>
  <c r="W505" i="1"/>
  <c r="W500" i="1"/>
  <c r="W342" i="1"/>
  <c r="W276" i="1"/>
  <c r="W214" i="1"/>
  <c r="W172" i="1"/>
  <c r="W325" i="1"/>
  <c r="W142" i="1"/>
  <c r="W175" i="1"/>
  <c r="W345" i="1"/>
  <c r="W275" i="1"/>
  <c r="W240" i="1"/>
  <c r="W70" i="1"/>
  <c r="W77" i="1"/>
  <c r="W534" i="1"/>
  <c r="W491" i="1"/>
  <c r="W478" i="1"/>
  <c r="W537" i="1"/>
  <c r="W371" i="1"/>
  <c r="W564" i="1"/>
  <c r="W684" i="1"/>
  <c r="W354" i="1"/>
  <c r="W324" i="1"/>
  <c r="W536" i="1"/>
  <c r="W454" i="1"/>
  <c r="W151" i="1"/>
  <c r="W76" i="1"/>
  <c r="W60" i="1"/>
  <c r="W150" i="1"/>
  <c r="W123" i="1"/>
  <c r="W86" i="1"/>
  <c r="W66" i="1"/>
  <c r="W18" i="1"/>
  <c r="W13" i="1"/>
  <c r="W233" i="1"/>
  <c r="W232" i="1"/>
  <c r="W162" i="1"/>
  <c r="W422" i="1"/>
  <c r="W414" i="1"/>
  <c r="W197" i="1"/>
  <c r="W577" i="1"/>
  <c r="W313" i="1"/>
  <c r="W453" i="1"/>
  <c r="W296" i="1"/>
  <c r="W157" i="1"/>
  <c r="W404" i="1"/>
  <c r="W380" i="1"/>
  <c r="W249" i="1"/>
  <c r="W353" i="1"/>
  <c r="W75" i="1"/>
  <c r="W40" i="1"/>
  <c r="W107" i="1"/>
  <c r="W52" i="1"/>
  <c r="W213" i="1"/>
  <c r="W161" i="1"/>
  <c r="W228" i="1"/>
  <c r="W179" i="1"/>
  <c r="W323" i="1"/>
  <c r="W239" i="1"/>
  <c r="W74" i="1"/>
  <c r="W65" i="1"/>
  <c r="W27" i="1"/>
  <c r="W64" i="1"/>
  <c r="W19" i="1"/>
  <c r="W563" i="1"/>
  <c r="W623" i="1"/>
  <c r="W504" i="1"/>
  <c r="W582" i="1"/>
  <c r="W622" i="1"/>
  <c r="W701" i="1"/>
  <c r="W652" i="1"/>
  <c r="W700" i="1"/>
  <c r="W736" i="1"/>
  <c r="W621" i="1"/>
  <c r="W645" i="1"/>
  <c r="W656" i="1"/>
  <c r="W274" i="1"/>
  <c r="W352" i="1"/>
  <c r="W379" i="1"/>
  <c r="W490" i="1"/>
  <c r="W452" i="1"/>
  <c r="W525" i="1"/>
  <c r="W486" i="1"/>
  <c r="W557" i="1"/>
  <c r="W482" i="1"/>
  <c r="W600" i="1"/>
  <c r="W671" i="1"/>
  <c r="W683" i="1"/>
  <c r="W421" i="1"/>
  <c r="W540" i="1"/>
  <c r="W403" i="1"/>
  <c r="W524" i="1"/>
  <c r="W636" i="1"/>
  <c r="W661" i="1"/>
  <c r="W434" i="1"/>
  <c r="W485" i="1"/>
  <c r="W535" i="1"/>
  <c r="W378" i="1"/>
  <c r="W463" i="1"/>
  <c r="W462" i="1"/>
  <c r="W543" i="1"/>
  <c r="W785" i="1"/>
  <c r="W744" i="1"/>
  <c r="W576" i="1"/>
  <c r="W610" i="1"/>
  <c r="W542" i="1"/>
  <c r="W644" i="1"/>
  <c r="W699" i="1"/>
  <c r="W682" i="1"/>
  <c r="W643" i="1"/>
  <c r="W807" i="1"/>
  <c r="W827" i="1"/>
  <c r="W806" i="1"/>
  <c r="W523" i="1"/>
  <c r="W620" i="1"/>
  <c r="W697" i="1"/>
  <c r="W795" i="1"/>
  <c r="W809" i="1"/>
  <c r="W825" i="1"/>
  <c r="W721" i="1"/>
  <c r="W824" i="1"/>
  <c r="W784" i="1"/>
  <c r="W810" i="1"/>
  <c r="W837" i="1"/>
  <c r="W793" i="1"/>
  <c r="W758" i="1"/>
  <c r="W763" i="1"/>
  <c r="W814" i="1"/>
  <c r="W792" i="1"/>
  <c r="W835" i="1"/>
  <c r="W826" i="1"/>
  <c r="W798" i="1"/>
  <c r="W828" i="1"/>
  <c r="W804" i="1"/>
  <c r="W818" i="1"/>
  <c r="W735" i="1"/>
  <c r="W522" i="1"/>
  <c r="W783" i="1"/>
  <c r="W831" i="1"/>
  <c r="W849" i="1"/>
  <c r="W833" i="1"/>
  <c r="W797" i="1"/>
  <c r="W847" i="1"/>
  <c r="W838" i="1"/>
  <c r="W714" i="1"/>
  <c r="W774" i="1"/>
  <c r="W402" i="1"/>
  <c r="W816" i="1"/>
  <c r="W642" i="1"/>
  <c r="W821" i="1"/>
  <c r="W857" i="1"/>
  <c r="W823" i="1"/>
  <c r="W830" i="1"/>
  <c r="W466" i="1"/>
  <c r="W533" i="1"/>
  <c r="W660" i="1"/>
  <c r="W762" i="1"/>
  <c r="W713" i="1"/>
  <c r="W761" i="1"/>
  <c r="W846" i="1"/>
</calcChain>
</file>

<file path=xl/sharedStrings.xml><?xml version="1.0" encoding="utf-8"?>
<sst xmlns="http://schemas.openxmlformats.org/spreadsheetml/2006/main" count="6855" uniqueCount="1258">
  <si>
    <t>서대문1</t>
    <phoneticPr fontId="2" type="noConversion"/>
  </si>
  <si>
    <t>마포4</t>
    <phoneticPr fontId="2" type="noConversion"/>
  </si>
  <si>
    <t>서대문2</t>
    <phoneticPr fontId="2" type="noConversion"/>
  </si>
  <si>
    <t>dmc센트럴아이파크</t>
    <phoneticPr fontId="2" type="noConversion"/>
  </si>
  <si>
    <t>서대문4</t>
    <phoneticPr fontId="2" type="noConversion"/>
  </si>
  <si>
    <t>복도식</t>
    <phoneticPr fontId="2" type="noConversion"/>
  </si>
  <si>
    <t>강동3</t>
    <phoneticPr fontId="2" type="noConversion"/>
  </si>
  <si>
    <t>광진3</t>
    <phoneticPr fontId="2" type="noConversion"/>
  </si>
  <si>
    <t>성동2</t>
    <phoneticPr fontId="2" type="noConversion"/>
  </si>
  <si>
    <t>e편한세상금호파크힐스</t>
    <phoneticPr fontId="2" type="noConversion"/>
  </si>
  <si>
    <t>마포1</t>
    <phoneticPr fontId="2" type="noConversion"/>
  </si>
  <si>
    <t>영등포3</t>
    <phoneticPr fontId="2" type="noConversion"/>
  </si>
  <si>
    <t>e편한세상문래에듀플라츠</t>
    <phoneticPr fontId="2" type="noConversion"/>
  </si>
  <si>
    <t>성북3</t>
    <phoneticPr fontId="2" type="noConversion"/>
  </si>
  <si>
    <t>동작2</t>
    <phoneticPr fontId="2" type="noConversion"/>
  </si>
  <si>
    <t>관악1</t>
    <phoneticPr fontId="2" type="noConversion"/>
  </si>
  <si>
    <t>e편한세상서울대입구</t>
    <phoneticPr fontId="2" type="noConversion"/>
  </si>
  <si>
    <t>e편한세상신촌</t>
    <phoneticPr fontId="2" type="noConversion"/>
  </si>
  <si>
    <t>계단식</t>
    <phoneticPr fontId="2" type="noConversion"/>
  </si>
  <si>
    <t>성동1</t>
    <phoneticPr fontId="2" type="noConversion"/>
  </si>
  <si>
    <t>동대문2</t>
    <phoneticPr fontId="2" type="noConversion"/>
  </si>
  <si>
    <t>e편한세상청계센트럴포레</t>
    <phoneticPr fontId="2" type="noConversion"/>
  </si>
  <si>
    <t>송파2</t>
    <phoneticPr fontId="2" type="noConversion"/>
  </si>
  <si>
    <t>가락 래미안파크팰리스</t>
    <phoneticPr fontId="2" type="noConversion"/>
  </si>
  <si>
    <t>송파3</t>
    <phoneticPr fontId="2" type="noConversion"/>
  </si>
  <si>
    <t>가락쌍용1차</t>
    <phoneticPr fontId="2" type="noConversion"/>
  </si>
  <si>
    <t>강서3</t>
    <phoneticPr fontId="2" type="noConversion"/>
  </si>
  <si>
    <t>강동롯데캐슬퍼스트</t>
    <phoneticPr fontId="2" type="noConversion"/>
  </si>
  <si>
    <t>강동헤리티지자이</t>
    <phoneticPr fontId="2" type="noConversion"/>
  </si>
  <si>
    <t>강변삼성스위트</t>
    <phoneticPr fontId="2" type="noConversion"/>
  </si>
  <si>
    <t>강변우성</t>
    <phoneticPr fontId="2" type="noConversion"/>
  </si>
  <si>
    <t>마포2</t>
    <phoneticPr fontId="2" type="noConversion"/>
  </si>
  <si>
    <t>용산1</t>
    <phoneticPr fontId="2" type="noConversion"/>
  </si>
  <si>
    <t>구로3</t>
    <phoneticPr fontId="2" type="noConversion"/>
  </si>
  <si>
    <t>개봉 삼환</t>
    <phoneticPr fontId="2" type="noConversion"/>
  </si>
  <si>
    <t>구로2</t>
    <phoneticPr fontId="2" type="noConversion"/>
  </si>
  <si>
    <t>개봉 푸르지오</t>
    <phoneticPr fontId="2" type="noConversion"/>
  </si>
  <si>
    <t>구로4</t>
    <phoneticPr fontId="2" type="noConversion"/>
  </si>
  <si>
    <t>개봉 현대1</t>
    <phoneticPr fontId="2" type="noConversion"/>
  </si>
  <si>
    <t>개포 한신</t>
    <phoneticPr fontId="2" type="noConversion"/>
  </si>
  <si>
    <t>개포 현대1</t>
    <phoneticPr fontId="2" type="noConversion"/>
  </si>
  <si>
    <t>개포주공6</t>
    <phoneticPr fontId="2" type="noConversion"/>
  </si>
  <si>
    <t>거여 송파시그니처롯데캐슬</t>
    <phoneticPr fontId="2" type="noConversion"/>
  </si>
  <si>
    <t>거여우방1차</t>
    <phoneticPr fontId="2" type="noConversion"/>
  </si>
  <si>
    <t>종로2</t>
    <phoneticPr fontId="2" type="noConversion"/>
  </si>
  <si>
    <t>종로1</t>
    <phoneticPr fontId="2" type="noConversion"/>
  </si>
  <si>
    <t>경희궁자이2</t>
    <phoneticPr fontId="2" type="noConversion"/>
  </si>
  <si>
    <t>경희궁자이3</t>
    <phoneticPr fontId="2" type="noConversion"/>
  </si>
  <si>
    <t>강동1</t>
    <phoneticPr fontId="2" type="noConversion"/>
  </si>
  <si>
    <t>고덕그라시움</t>
    <phoneticPr fontId="2" type="noConversion"/>
  </si>
  <si>
    <t>고척 벽산베스트블루밍</t>
    <phoneticPr fontId="2" type="noConversion"/>
  </si>
  <si>
    <t>고척 한일유앤아이</t>
    <phoneticPr fontId="2" type="noConversion"/>
  </si>
  <si>
    <t>구로1</t>
    <phoneticPr fontId="2" type="noConversion"/>
  </si>
  <si>
    <t>고척파크푸르지오</t>
    <phoneticPr fontId="2" type="noConversion"/>
  </si>
  <si>
    <t>공덕래미안5차</t>
    <phoneticPr fontId="2" type="noConversion"/>
  </si>
  <si>
    <t>공덕자이</t>
    <phoneticPr fontId="2" type="noConversion"/>
  </si>
  <si>
    <t>공릉 9단지청솔</t>
    <phoneticPr fontId="2" type="noConversion"/>
  </si>
  <si>
    <t>공릉 풍림아이원</t>
    <phoneticPr fontId="2" type="noConversion"/>
  </si>
  <si>
    <t>관악2</t>
    <phoneticPr fontId="2" type="noConversion"/>
  </si>
  <si>
    <t>관악드림타운</t>
    <phoneticPr fontId="2" type="noConversion"/>
  </si>
  <si>
    <t>관악산휴먼시아2</t>
    <phoneticPr fontId="2" type="noConversion"/>
  </si>
  <si>
    <t>관악푸르지오</t>
    <phoneticPr fontId="2" type="noConversion"/>
  </si>
  <si>
    <t>광진1</t>
    <phoneticPr fontId="2" type="noConversion"/>
  </si>
  <si>
    <t>광장극동1차</t>
    <phoneticPr fontId="2" type="noConversion"/>
  </si>
  <si>
    <t>광장청구</t>
    <phoneticPr fontId="2" type="noConversion"/>
  </si>
  <si>
    <t>광장현대9</t>
    <phoneticPr fontId="2" type="noConversion"/>
  </si>
  <si>
    <t>광장현대파크빌10</t>
    <phoneticPr fontId="2" type="noConversion"/>
  </si>
  <si>
    <t>광장힐스테이트</t>
    <phoneticPr fontId="2" type="noConversion"/>
  </si>
  <si>
    <t>구로 두산위브</t>
    <phoneticPr fontId="2" type="noConversion"/>
  </si>
  <si>
    <t>구로 신도림롯데</t>
    <phoneticPr fontId="2" type="noConversion"/>
  </si>
  <si>
    <t>구로 신도림태영타운</t>
    <phoneticPr fontId="2" type="noConversion"/>
  </si>
  <si>
    <t>구로 중앙하이츠</t>
    <phoneticPr fontId="2" type="noConversion"/>
  </si>
  <si>
    <t>광진2</t>
    <phoneticPr fontId="2" type="noConversion"/>
  </si>
  <si>
    <t>양천3</t>
    <phoneticPr fontId="2" type="noConversion"/>
  </si>
  <si>
    <t>금호두산</t>
    <phoneticPr fontId="2" type="noConversion"/>
  </si>
  <si>
    <t>성동4</t>
    <phoneticPr fontId="2" type="noConversion"/>
  </si>
  <si>
    <t>성동3</t>
    <phoneticPr fontId="2" type="noConversion"/>
  </si>
  <si>
    <t>성북2</t>
    <phoneticPr fontId="2" type="noConversion"/>
  </si>
  <si>
    <t>길음뉴타운4단지e편한세상</t>
    <phoneticPr fontId="2" type="noConversion"/>
  </si>
  <si>
    <t>길음뉴타운9단지래미안</t>
    <phoneticPr fontId="2" type="noConversion"/>
  </si>
  <si>
    <t>성북4</t>
    <phoneticPr fontId="2" type="noConversion"/>
  </si>
  <si>
    <t>길음동부센트레빌</t>
    <phoneticPr fontId="2" type="noConversion"/>
  </si>
  <si>
    <t>길음역금호어울림</t>
    <phoneticPr fontId="2" type="noConversion"/>
  </si>
  <si>
    <t>꿈의숲아이파크</t>
    <phoneticPr fontId="2" type="noConversion"/>
  </si>
  <si>
    <t>중구2</t>
    <phoneticPr fontId="2" type="noConversion"/>
  </si>
  <si>
    <t>남산타운</t>
    <phoneticPr fontId="2" type="noConversion"/>
  </si>
  <si>
    <t>강서2</t>
    <phoneticPr fontId="2" type="noConversion"/>
  </si>
  <si>
    <t>내발산 마곡수명산파크1</t>
    <phoneticPr fontId="2" type="noConversion"/>
  </si>
  <si>
    <t>내발산 우장산힐스테이트</t>
    <phoneticPr fontId="2" type="noConversion"/>
  </si>
  <si>
    <t>동작3</t>
    <phoneticPr fontId="2" type="noConversion"/>
  </si>
  <si>
    <t>노량진 본동 삼성래미안</t>
    <phoneticPr fontId="2" type="noConversion"/>
  </si>
  <si>
    <t>노량진 본동 우성</t>
    <phoneticPr fontId="2" type="noConversion"/>
  </si>
  <si>
    <t>은평1</t>
    <phoneticPr fontId="2" type="noConversion"/>
  </si>
  <si>
    <t>녹번 래미안베라힐즈</t>
    <phoneticPr fontId="2" type="noConversion"/>
  </si>
  <si>
    <t>논현 신동아파밀리에</t>
    <phoneticPr fontId="2" type="noConversion"/>
  </si>
  <si>
    <t>동대문3</t>
    <phoneticPr fontId="2" type="noConversion"/>
  </si>
  <si>
    <t>답십리두산</t>
    <phoneticPr fontId="2" type="noConversion"/>
  </si>
  <si>
    <t>답십리파크자이</t>
    <phoneticPr fontId="2" type="noConversion"/>
  </si>
  <si>
    <t>영등포2</t>
    <phoneticPr fontId="2" type="noConversion"/>
  </si>
  <si>
    <t>당산반도유보라</t>
    <phoneticPr fontId="2" type="noConversion"/>
  </si>
  <si>
    <t>영등포1</t>
    <phoneticPr fontId="2" type="noConversion"/>
  </si>
  <si>
    <t>당산삼성래미안</t>
    <phoneticPr fontId="2" type="noConversion"/>
  </si>
  <si>
    <t>당산센트럴아이파크</t>
    <phoneticPr fontId="2" type="noConversion"/>
  </si>
  <si>
    <t>당산푸르지오</t>
    <phoneticPr fontId="2" type="noConversion"/>
  </si>
  <si>
    <t>당산현대5차</t>
    <phoneticPr fontId="2" type="noConversion"/>
  </si>
  <si>
    <t>대림(방이)가락</t>
    <phoneticPr fontId="2" type="noConversion"/>
  </si>
  <si>
    <t>대림강변타운</t>
    <phoneticPr fontId="2" type="noConversion"/>
  </si>
  <si>
    <t>대방e편한세상1차</t>
    <phoneticPr fontId="2" type="noConversion"/>
  </si>
  <si>
    <t>대방대림</t>
    <phoneticPr fontId="2" type="noConversion"/>
  </si>
  <si>
    <t>대치삼성1차</t>
    <phoneticPr fontId="2" type="noConversion"/>
  </si>
  <si>
    <t>대치현대</t>
    <phoneticPr fontId="2" type="noConversion"/>
  </si>
  <si>
    <t>대흥태영</t>
    <phoneticPr fontId="2" type="noConversion"/>
  </si>
  <si>
    <t>더샵파크프레스티지</t>
    <phoneticPr fontId="2" type="noConversion"/>
  </si>
  <si>
    <t>도곡렉슬</t>
    <phoneticPr fontId="2" type="noConversion"/>
  </si>
  <si>
    <t>도봉4</t>
    <phoneticPr fontId="2" type="noConversion"/>
  </si>
  <si>
    <t>도봉 래미안도봉</t>
    <phoneticPr fontId="2" type="noConversion"/>
  </si>
  <si>
    <t>도봉 한신</t>
    <phoneticPr fontId="2" type="noConversion"/>
  </si>
  <si>
    <t>도원삼성래미안</t>
    <phoneticPr fontId="2" type="noConversion"/>
  </si>
  <si>
    <t>도화현대홈타운</t>
    <phoneticPr fontId="2" type="noConversion"/>
  </si>
  <si>
    <t>독립문극동</t>
    <phoneticPr fontId="2" type="noConversion"/>
  </si>
  <si>
    <t>독립문삼호</t>
    <phoneticPr fontId="2" type="noConversion"/>
  </si>
  <si>
    <t>독산 주공14</t>
    <phoneticPr fontId="2" type="noConversion"/>
  </si>
  <si>
    <t>독산 중앙하이츠빌</t>
    <phoneticPr fontId="2" type="noConversion"/>
  </si>
  <si>
    <t>돈암코오롱하늘채</t>
    <phoneticPr fontId="2" type="noConversion"/>
  </si>
  <si>
    <t>돈의문센트레빌</t>
    <phoneticPr fontId="2" type="noConversion"/>
  </si>
  <si>
    <t>동대문퍼스트데시앙</t>
    <phoneticPr fontId="2" type="noConversion"/>
  </si>
  <si>
    <t>둔촌신성미소지움</t>
    <phoneticPr fontId="2" type="noConversion"/>
  </si>
  <si>
    <t>등촌 가양역두산위브</t>
    <phoneticPr fontId="2" type="noConversion"/>
  </si>
  <si>
    <t>등촌 대동황토방1차</t>
    <phoneticPr fontId="2" type="noConversion"/>
  </si>
  <si>
    <t>등촌 등촌대림</t>
    <phoneticPr fontId="2" type="noConversion"/>
  </si>
  <si>
    <t>등촌 등촌아이파크</t>
    <phoneticPr fontId="2" type="noConversion"/>
  </si>
  <si>
    <t>등촌 등촌주공3</t>
    <phoneticPr fontId="2" type="noConversion"/>
  </si>
  <si>
    <t>등촌 등촌주공8</t>
    <phoneticPr fontId="2" type="noConversion"/>
  </si>
  <si>
    <t>서초2</t>
    <phoneticPr fontId="2" type="noConversion"/>
  </si>
  <si>
    <t>디에이치자이개포</t>
    <phoneticPr fontId="2" type="noConversion"/>
  </si>
  <si>
    <t>라체르보푸르지오써밋</t>
    <phoneticPr fontId="2" type="noConversion"/>
  </si>
  <si>
    <t>래미안강동팰리스</t>
    <phoneticPr fontId="2" type="noConversion"/>
  </si>
  <si>
    <t>성북1</t>
    <phoneticPr fontId="2" type="noConversion"/>
  </si>
  <si>
    <t>래미안길음센터피스</t>
    <phoneticPr fontId="2" type="noConversion"/>
  </si>
  <si>
    <t>래미안남가좌2차</t>
    <phoneticPr fontId="2" type="noConversion"/>
  </si>
  <si>
    <t>래미안당산1차</t>
    <phoneticPr fontId="2" type="noConversion"/>
  </si>
  <si>
    <t>래미안대치팰리스1</t>
    <phoneticPr fontId="2" type="noConversion"/>
  </si>
  <si>
    <t>래미안라센트</t>
    <phoneticPr fontId="2" type="noConversion"/>
  </si>
  <si>
    <t>양천2</t>
    <phoneticPr fontId="2" type="noConversion"/>
  </si>
  <si>
    <t>래미안목동아델리체</t>
    <phoneticPr fontId="2" type="noConversion"/>
  </si>
  <si>
    <t>래미안밤섬리베뉴2</t>
    <phoneticPr fontId="2" type="noConversion"/>
  </si>
  <si>
    <t>래미안상도3차</t>
    <phoneticPr fontId="2" type="noConversion"/>
  </si>
  <si>
    <t>서초3</t>
    <phoneticPr fontId="2" type="noConversion"/>
  </si>
  <si>
    <t>서초4</t>
    <phoneticPr fontId="2" type="noConversion"/>
  </si>
  <si>
    <t>래미안세레니티</t>
    <phoneticPr fontId="2" type="noConversion"/>
  </si>
  <si>
    <t>래미안솔베뉴</t>
    <phoneticPr fontId="2" type="noConversion"/>
  </si>
  <si>
    <t>래미안송파파인탑</t>
    <phoneticPr fontId="2" type="noConversion"/>
  </si>
  <si>
    <t>래미안신반포팰리스</t>
    <phoneticPr fontId="2" type="noConversion"/>
  </si>
  <si>
    <t>래미안아트리치</t>
    <phoneticPr fontId="2" type="noConversion"/>
  </si>
  <si>
    <t>래미안에스티움</t>
    <phoneticPr fontId="2" type="noConversion"/>
  </si>
  <si>
    <t>래미안엘리니티</t>
    <phoneticPr fontId="2" type="noConversion"/>
  </si>
  <si>
    <t>래미안옥수리버젠</t>
    <phoneticPr fontId="2" type="noConversion"/>
  </si>
  <si>
    <t>서초1</t>
    <phoneticPr fontId="2" type="noConversion"/>
  </si>
  <si>
    <t>래미안원베일리</t>
    <phoneticPr fontId="2" type="noConversion"/>
  </si>
  <si>
    <t>래미안월곡</t>
    <phoneticPr fontId="2" type="noConversion"/>
  </si>
  <si>
    <t>래미안웰스트림</t>
    <phoneticPr fontId="2" type="noConversion"/>
  </si>
  <si>
    <t>동대문1</t>
    <phoneticPr fontId="2" type="noConversion"/>
  </si>
  <si>
    <t>래미안크레시티</t>
    <phoneticPr fontId="2" type="noConversion"/>
  </si>
  <si>
    <t>래미안하이리버</t>
    <phoneticPr fontId="2" type="noConversion"/>
  </si>
  <si>
    <t>롯데캐슬리버파크시그니처</t>
    <phoneticPr fontId="2" type="noConversion"/>
  </si>
  <si>
    <t>롯데캐슬클라시아</t>
    <phoneticPr fontId="2" type="noConversion"/>
  </si>
  <si>
    <t>강서1</t>
    <phoneticPr fontId="2" type="noConversion"/>
  </si>
  <si>
    <t>마곡 마곡13단지힐스테이트마스터</t>
    <phoneticPr fontId="2" type="noConversion"/>
  </si>
  <si>
    <t>마곡 마곡엠밸리1</t>
    <phoneticPr fontId="2" type="noConversion"/>
  </si>
  <si>
    <t>마곡 마곡엠밸리12</t>
    <phoneticPr fontId="2" type="noConversion"/>
  </si>
  <si>
    <t>마곡 마곡엠밸리7</t>
    <phoneticPr fontId="2" type="noConversion"/>
  </si>
  <si>
    <t>마곡 마곡푸르지오</t>
    <phoneticPr fontId="2" type="noConversion"/>
  </si>
  <si>
    <t>마곡 마곡힐스테이트</t>
    <phoneticPr fontId="2" type="noConversion"/>
  </si>
  <si>
    <t>마포래미안푸르지오</t>
    <phoneticPr fontId="2" type="noConversion"/>
  </si>
  <si>
    <t>마포삼성</t>
    <phoneticPr fontId="2" type="noConversion"/>
  </si>
  <si>
    <t>마포자이힐스테이트라첼스</t>
    <phoneticPr fontId="2" type="noConversion"/>
  </si>
  <si>
    <t>마포프레스티지자이</t>
    <phoneticPr fontId="2" type="noConversion"/>
  </si>
  <si>
    <t>마포한강아이파크</t>
    <phoneticPr fontId="2" type="noConversion"/>
  </si>
  <si>
    <t>중랑2</t>
    <phoneticPr fontId="2" type="noConversion"/>
  </si>
  <si>
    <t>중랑3</t>
    <phoneticPr fontId="2" type="noConversion"/>
  </si>
  <si>
    <t>메이플자이</t>
    <phoneticPr fontId="2" type="noConversion"/>
  </si>
  <si>
    <t>면목 두산 2, 3</t>
    <phoneticPr fontId="2" type="noConversion"/>
  </si>
  <si>
    <t>중랑1</t>
    <phoneticPr fontId="2" type="noConversion"/>
  </si>
  <si>
    <t>면목 사가정센트럴파크</t>
    <phoneticPr fontId="2" type="noConversion"/>
  </si>
  <si>
    <t>면목 한양수자인사가정파크</t>
    <phoneticPr fontId="2" type="noConversion"/>
  </si>
  <si>
    <t>양천1</t>
    <phoneticPr fontId="2" type="noConversion"/>
  </si>
  <si>
    <t>목동금호어울림</t>
    <phoneticPr fontId="2" type="noConversion"/>
  </si>
  <si>
    <t>목동롯데캐슬위너</t>
    <phoneticPr fontId="2" type="noConversion"/>
  </si>
  <si>
    <t>목동삼성래미안2</t>
    <phoneticPr fontId="2" type="noConversion"/>
  </si>
  <si>
    <t>목동센트럴아이파크위브</t>
    <phoneticPr fontId="2" type="noConversion"/>
  </si>
  <si>
    <t>목동파크자이</t>
    <phoneticPr fontId="2" type="noConversion"/>
  </si>
  <si>
    <t>목동현대</t>
    <phoneticPr fontId="2" type="noConversion"/>
  </si>
  <si>
    <t>목동현대1차</t>
    <phoneticPr fontId="2" type="noConversion"/>
  </si>
  <si>
    <t>목동힐스테이트</t>
    <phoneticPr fontId="2" type="noConversion"/>
  </si>
  <si>
    <t>무악현대</t>
    <phoneticPr fontId="2" type="noConversion"/>
  </si>
  <si>
    <t>묵동 E편한세상화랑대</t>
    <phoneticPr fontId="2" type="noConversion"/>
  </si>
  <si>
    <t>묵동 아이파크</t>
    <phoneticPr fontId="2" type="noConversion"/>
  </si>
  <si>
    <t>문정래미안</t>
    <phoneticPr fontId="2" type="noConversion"/>
  </si>
  <si>
    <t>강북2</t>
    <phoneticPr fontId="2" type="noConversion"/>
  </si>
  <si>
    <t>미아 SK북한산시티</t>
    <phoneticPr fontId="2" type="noConversion"/>
  </si>
  <si>
    <t>미아 경남아너스빌</t>
    <phoneticPr fontId="2" type="noConversion"/>
  </si>
  <si>
    <t>강북1</t>
    <phoneticPr fontId="2" type="noConversion"/>
  </si>
  <si>
    <t>미아 꿈의숲해링턴플레이스</t>
    <phoneticPr fontId="2" type="noConversion"/>
  </si>
  <si>
    <t>미아 래미안트리베라1</t>
    <phoneticPr fontId="2" type="noConversion"/>
  </si>
  <si>
    <t>미아 북서울자이폴라리스</t>
    <phoneticPr fontId="2" type="noConversion"/>
  </si>
  <si>
    <t>반포래미안퍼스티지</t>
    <phoneticPr fontId="2" type="noConversion"/>
  </si>
  <si>
    <t>반포리체</t>
    <phoneticPr fontId="2" type="noConversion"/>
  </si>
  <si>
    <t>반포미도2차</t>
    <phoneticPr fontId="2" type="noConversion"/>
  </si>
  <si>
    <t>반포자이</t>
    <phoneticPr fontId="2" type="noConversion"/>
  </si>
  <si>
    <t>방배그랑자이</t>
    <phoneticPr fontId="2" type="noConversion"/>
  </si>
  <si>
    <t>방배롯데캐슬아르떼</t>
    <phoneticPr fontId="2" type="noConversion"/>
  </si>
  <si>
    <t>방배서리풀e편한세상</t>
    <phoneticPr fontId="2" type="noConversion"/>
  </si>
  <si>
    <t>도봉2</t>
    <phoneticPr fontId="2" type="noConversion"/>
  </si>
  <si>
    <t>방학 대상타운현대</t>
    <phoneticPr fontId="2" type="noConversion"/>
  </si>
  <si>
    <t>방학 신동아1</t>
    <phoneticPr fontId="2" type="noConversion"/>
  </si>
  <si>
    <t>방화 개화산동부센트레빌</t>
    <phoneticPr fontId="2" type="noConversion"/>
  </si>
  <si>
    <t>방화 동성</t>
    <phoneticPr fontId="2" type="noConversion"/>
  </si>
  <si>
    <t>방화 방화5단지</t>
    <phoneticPr fontId="2" type="noConversion"/>
  </si>
  <si>
    <t>방화 신마곡벽산블루밍</t>
    <phoneticPr fontId="2" type="noConversion"/>
  </si>
  <si>
    <t>배재현대</t>
    <phoneticPr fontId="2" type="noConversion"/>
  </si>
  <si>
    <t>강북3</t>
    <phoneticPr fontId="2" type="noConversion"/>
  </si>
  <si>
    <t>번동 주공1</t>
    <phoneticPr fontId="2" type="noConversion"/>
  </si>
  <si>
    <t>보라매경남아너스빌</t>
    <phoneticPr fontId="2" type="noConversion"/>
  </si>
  <si>
    <t>보문파크뷰자이</t>
    <phoneticPr fontId="2" type="noConversion"/>
  </si>
  <si>
    <t>본동 래미안트윈파크</t>
    <phoneticPr fontId="2" type="noConversion"/>
  </si>
  <si>
    <t>북아현두산</t>
    <phoneticPr fontId="2" type="noConversion"/>
  </si>
  <si>
    <t>은평3</t>
    <phoneticPr fontId="2" type="noConversion"/>
  </si>
  <si>
    <t>불광 북한산힐스테이트1</t>
    <phoneticPr fontId="2" type="noConversion"/>
  </si>
  <si>
    <t>불광 북한산힐스테이트3</t>
    <phoneticPr fontId="2" type="noConversion"/>
  </si>
  <si>
    <t>불광 북한산힐스테이트7</t>
    <phoneticPr fontId="2" type="noConversion"/>
  </si>
  <si>
    <t>동대문4</t>
    <phoneticPr fontId="2" type="noConversion"/>
  </si>
  <si>
    <t>사당 두산위브트레지움</t>
    <phoneticPr fontId="2" type="noConversion"/>
  </si>
  <si>
    <t>동작4</t>
    <phoneticPr fontId="2" type="noConversion"/>
  </si>
  <si>
    <t>사당 우성2단지</t>
    <phoneticPr fontId="2" type="noConversion"/>
  </si>
  <si>
    <t>사당 우성2차</t>
    <phoneticPr fontId="2" type="noConversion"/>
  </si>
  <si>
    <t>사당 이수 삼성래미안</t>
    <phoneticPr fontId="2" type="noConversion"/>
  </si>
  <si>
    <t>사당자이</t>
    <phoneticPr fontId="2" type="noConversion"/>
  </si>
  <si>
    <t>삼성 래미안라클래시</t>
    <phoneticPr fontId="2" type="noConversion"/>
  </si>
  <si>
    <t>삼성공덕래미안2차</t>
    <phoneticPr fontId="2" type="noConversion"/>
  </si>
  <si>
    <t>삼성리버빌</t>
    <phoneticPr fontId="2" type="noConversion"/>
  </si>
  <si>
    <t>삼성센트럴아이파크</t>
    <phoneticPr fontId="2" type="noConversion"/>
  </si>
  <si>
    <t>삼익그린맨션2</t>
    <phoneticPr fontId="2" type="noConversion"/>
  </si>
  <si>
    <t>노원2</t>
    <phoneticPr fontId="2" type="noConversion"/>
  </si>
  <si>
    <t>상계 노원센트럴푸르지오</t>
    <phoneticPr fontId="2" type="noConversion"/>
  </si>
  <si>
    <t>상계 주공12</t>
    <phoneticPr fontId="2" type="noConversion"/>
  </si>
  <si>
    <t>상계 주공5</t>
    <phoneticPr fontId="2" type="noConversion"/>
  </si>
  <si>
    <t>상계 주공7</t>
    <phoneticPr fontId="2" type="noConversion"/>
  </si>
  <si>
    <t>상계 중계센트럴파크</t>
    <phoneticPr fontId="2" type="noConversion"/>
  </si>
  <si>
    <t>노원1</t>
    <phoneticPr fontId="2" type="noConversion"/>
  </si>
  <si>
    <t>상계 포레나노원</t>
    <phoneticPr fontId="2" type="noConversion"/>
  </si>
  <si>
    <t>상도신동아리버파크</t>
    <phoneticPr fontId="2" type="noConversion"/>
  </si>
  <si>
    <t>상도역롯데캐슬파크엘</t>
    <phoneticPr fontId="2" type="noConversion"/>
  </si>
  <si>
    <t>상도중앙하이츠빌</t>
    <phoneticPr fontId="2" type="noConversion"/>
  </si>
  <si>
    <t>상도파크자이</t>
    <phoneticPr fontId="2" type="noConversion"/>
  </si>
  <si>
    <t>상도푸르지오클라베뉴</t>
    <phoneticPr fontId="2" type="noConversion"/>
  </si>
  <si>
    <t>상봉 태영데시앙</t>
    <phoneticPr fontId="2" type="noConversion"/>
  </si>
  <si>
    <t>상암월드컵파크4</t>
    <phoneticPr fontId="2" type="noConversion"/>
  </si>
  <si>
    <t>서대문푸르지오센트럴파크</t>
    <phoneticPr fontId="2" type="noConversion"/>
  </si>
  <si>
    <t>서울대입구아이원</t>
    <phoneticPr fontId="2" type="noConversion"/>
  </si>
  <si>
    <t>서울숲리버뷰자이</t>
    <phoneticPr fontId="2" type="noConversion"/>
  </si>
  <si>
    <t>서울숲힐스테이트</t>
    <phoneticPr fontId="2" type="noConversion"/>
  </si>
  <si>
    <t>서초교대e편한세상</t>
    <phoneticPr fontId="2" type="noConversion"/>
  </si>
  <si>
    <t>서초그랑자이</t>
    <phoneticPr fontId="2" type="noConversion"/>
  </si>
  <si>
    <t>서초네이처힐4</t>
    <phoneticPr fontId="2" type="noConversion"/>
  </si>
  <si>
    <t>서초삼성래미안</t>
    <phoneticPr fontId="2" type="noConversion"/>
  </si>
  <si>
    <t>서초포레스타5</t>
    <phoneticPr fontId="2" type="noConversion"/>
  </si>
  <si>
    <t>서초푸르지오써밋</t>
    <phoneticPr fontId="2" type="noConversion"/>
  </si>
  <si>
    <t>선사현대</t>
    <phoneticPr fontId="2" type="noConversion"/>
  </si>
  <si>
    <t>성내삼성</t>
    <phoneticPr fontId="2" type="noConversion"/>
  </si>
  <si>
    <t>성내올림픽한양수자인</t>
    <phoneticPr fontId="2" type="noConversion"/>
  </si>
  <si>
    <t>성수 쌍용</t>
    <phoneticPr fontId="2" type="noConversion"/>
  </si>
  <si>
    <t>성수아이파크</t>
    <phoneticPr fontId="2" type="noConversion"/>
  </si>
  <si>
    <t>세양청마루</t>
    <phoneticPr fontId="2" type="noConversion"/>
  </si>
  <si>
    <t>센트라스</t>
    <phoneticPr fontId="2" type="noConversion"/>
  </si>
  <si>
    <t>송파 현대</t>
    <phoneticPr fontId="2" type="noConversion"/>
  </si>
  <si>
    <t>송파시그니처롯데캐슬</t>
    <phoneticPr fontId="2" type="noConversion"/>
  </si>
  <si>
    <t>송파위례24단지꿈에그린</t>
    <phoneticPr fontId="2" type="noConversion"/>
  </si>
  <si>
    <t>송파파인타운6</t>
    <phoneticPr fontId="2" type="noConversion"/>
  </si>
  <si>
    <t>송파파크하비오푸르지오</t>
    <phoneticPr fontId="2" type="noConversion"/>
  </si>
  <si>
    <t>수색 DMC롯데캐슬더퍼스트</t>
    <phoneticPr fontId="2" type="noConversion"/>
  </si>
  <si>
    <t>수색 DMC청구</t>
    <phoneticPr fontId="2" type="noConversion"/>
  </si>
  <si>
    <t>수색 E편한세상수색에코포레</t>
    <phoneticPr fontId="2" type="noConversion"/>
  </si>
  <si>
    <t>강북4</t>
    <phoneticPr fontId="2" type="noConversion"/>
  </si>
  <si>
    <t>수유 벽산1차</t>
    <phoneticPr fontId="2" type="noConversion"/>
  </si>
  <si>
    <t>시흥 관악산 벽산타운5</t>
    <phoneticPr fontId="2" type="noConversion"/>
  </si>
  <si>
    <t>금천2</t>
    <phoneticPr fontId="2" type="noConversion"/>
  </si>
  <si>
    <t>시흥 남서울힐스테이트</t>
    <phoneticPr fontId="2" type="noConversion"/>
  </si>
  <si>
    <t>금천1</t>
    <phoneticPr fontId="2" type="noConversion"/>
  </si>
  <si>
    <t>시흥 롯데캐슬골드파크1차</t>
    <phoneticPr fontId="2" type="noConversion"/>
  </si>
  <si>
    <t>신공덕래미안1차</t>
    <phoneticPr fontId="2" type="noConversion"/>
  </si>
  <si>
    <t>신길 삼환</t>
    <phoneticPr fontId="2" type="noConversion"/>
  </si>
  <si>
    <t>신길센트럴자이</t>
    <phoneticPr fontId="2" type="noConversion"/>
  </si>
  <si>
    <t>신내 6단지시영</t>
    <phoneticPr fontId="2" type="noConversion"/>
  </si>
  <si>
    <t>신내 데시앙</t>
    <phoneticPr fontId="2" type="noConversion"/>
  </si>
  <si>
    <t>신내 동성3차</t>
    <phoneticPr fontId="2" type="noConversion"/>
  </si>
  <si>
    <t>중구3</t>
    <phoneticPr fontId="2" type="noConversion"/>
  </si>
  <si>
    <t>신당삼성</t>
    <phoneticPr fontId="2" type="noConversion"/>
  </si>
  <si>
    <t>신대방 보라매 파크빌</t>
    <phoneticPr fontId="2" type="noConversion"/>
  </si>
  <si>
    <t>신도림 4차e편한세상</t>
    <phoneticPr fontId="2" type="noConversion"/>
  </si>
  <si>
    <t>신도림 7차e편한세상</t>
    <phoneticPr fontId="2" type="noConversion"/>
  </si>
  <si>
    <t>신도림 대림1, 2차e편한세상</t>
    <phoneticPr fontId="2" type="noConversion"/>
  </si>
  <si>
    <t>신도림 현대</t>
    <phoneticPr fontId="2" type="noConversion"/>
  </si>
  <si>
    <t>신도림동아2차</t>
    <phoneticPr fontId="2" type="noConversion"/>
  </si>
  <si>
    <t>신반포4차</t>
    <phoneticPr fontId="2" type="noConversion"/>
  </si>
  <si>
    <t>신사 응암역효성해링턴플레이스</t>
    <phoneticPr fontId="2" type="noConversion"/>
  </si>
  <si>
    <t>양천4</t>
    <phoneticPr fontId="2" type="noConversion"/>
  </si>
  <si>
    <t>신정뉴타운롯데캐슬</t>
    <phoneticPr fontId="2" type="noConversion"/>
  </si>
  <si>
    <t>신정청구</t>
    <phoneticPr fontId="2" type="noConversion"/>
  </si>
  <si>
    <t>송파1</t>
    <phoneticPr fontId="2" type="noConversion"/>
  </si>
  <si>
    <t>신촌숲아이파크</t>
    <phoneticPr fontId="2" type="noConversion"/>
  </si>
  <si>
    <t>도봉3</t>
    <phoneticPr fontId="2" type="noConversion"/>
  </si>
  <si>
    <t>쌍문 북한산코오롱하늘채</t>
    <phoneticPr fontId="2" type="noConversion"/>
  </si>
  <si>
    <t>쌍문 삼성래미안</t>
    <phoneticPr fontId="2" type="noConversion"/>
  </si>
  <si>
    <t>쌍문 현대1차</t>
    <phoneticPr fontId="2" type="noConversion"/>
  </si>
  <si>
    <t>아크로리버뷰신반포</t>
    <phoneticPr fontId="2" type="noConversion"/>
  </si>
  <si>
    <t>아크로리버파크</t>
    <phoneticPr fontId="2" type="noConversion"/>
  </si>
  <si>
    <t>압구정현대10,13,14</t>
    <phoneticPr fontId="2" type="noConversion"/>
  </si>
  <si>
    <t>약수하이츠</t>
    <phoneticPr fontId="2" type="noConversion"/>
  </si>
  <si>
    <t>역삼e편한세상</t>
    <phoneticPr fontId="2" type="noConversion"/>
  </si>
  <si>
    <t>역삼자이</t>
    <phoneticPr fontId="2" type="noConversion"/>
  </si>
  <si>
    <t>염창 e편한세상</t>
    <phoneticPr fontId="2" type="noConversion"/>
  </si>
  <si>
    <t>염창 강변한솔솔파크</t>
    <phoneticPr fontId="2" type="noConversion"/>
  </si>
  <si>
    <t>염창 염창동아1차</t>
    <phoneticPr fontId="2" type="noConversion"/>
  </si>
  <si>
    <t>염창 염창롯데캐슬</t>
    <phoneticPr fontId="2" type="noConversion"/>
  </si>
  <si>
    <t>염창동아3차</t>
    <phoneticPr fontId="2" type="noConversion"/>
  </si>
  <si>
    <t>영등포경남아너스빌</t>
    <phoneticPr fontId="2" type="noConversion"/>
  </si>
  <si>
    <t>영등포중흥s클래스</t>
    <phoneticPr fontId="2" type="noConversion"/>
  </si>
  <si>
    <t>영등포푸르지오</t>
    <phoneticPr fontId="2" type="noConversion"/>
  </si>
  <si>
    <t>오류 동부골든</t>
    <phoneticPr fontId="2" type="noConversion"/>
  </si>
  <si>
    <t>오류 푸르지오</t>
    <phoneticPr fontId="2" type="noConversion"/>
  </si>
  <si>
    <t>오류동 금강수목원</t>
    <phoneticPr fontId="2" type="noConversion"/>
  </si>
  <si>
    <t>옥수삼성</t>
    <phoneticPr fontId="2" type="noConversion"/>
  </si>
  <si>
    <t>온수 힐스테이트</t>
    <phoneticPr fontId="2" type="noConversion"/>
  </si>
  <si>
    <t>올림픽선수기자촌</t>
    <phoneticPr fontId="2" type="noConversion"/>
  </si>
  <si>
    <t>올림픽파크포레온</t>
    <phoneticPr fontId="2" type="noConversion"/>
  </si>
  <si>
    <t>왕십리자이</t>
    <phoneticPr fontId="2" type="noConversion"/>
  </si>
  <si>
    <t>용산2</t>
    <phoneticPr fontId="2" type="noConversion"/>
  </si>
  <si>
    <t>용산롯데캐슬센터포레</t>
    <phoneticPr fontId="2" type="noConversion"/>
  </si>
  <si>
    <t>월계 꿈의숲sk뷰</t>
    <phoneticPr fontId="2" type="noConversion"/>
  </si>
  <si>
    <t>월계 미륭 미성 삼호</t>
    <phoneticPr fontId="2" type="noConversion"/>
  </si>
  <si>
    <t>월계 센트럴아이파크</t>
    <phoneticPr fontId="2" type="noConversion"/>
  </si>
  <si>
    <t>월계 초안산쌍용스윗닷홈</t>
    <phoneticPr fontId="2" type="noConversion"/>
  </si>
  <si>
    <t>월계 풍림아이원</t>
    <phoneticPr fontId="2" type="noConversion"/>
  </si>
  <si>
    <t>월곡래미안루나밸리</t>
    <phoneticPr fontId="2" type="noConversion"/>
  </si>
  <si>
    <t>월드컵참누리</t>
    <phoneticPr fontId="2" type="noConversion"/>
  </si>
  <si>
    <t>응봉신동아</t>
    <phoneticPr fontId="2" type="noConversion"/>
  </si>
  <si>
    <t>응암 녹번역e편한세상캐슬</t>
    <phoneticPr fontId="2" type="noConversion"/>
  </si>
  <si>
    <t>응암 녹번역센트레빌</t>
    <phoneticPr fontId="2" type="noConversion"/>
  </si>
  <si>
    <t>응암 백련산sk뷰아이파크</t>
    <phoneticPr fontId="2" type="noConversion"/>
  </si>
  <si>
    <t>응암 백련산파크자이</t>
    <phoneticPr fontId="2" type="noConversion"/>
  </si>
  <si>
    <t>응암 백련산힐스테이트1차</t>
    <phoneticPr fontId="2" type="noConversion"/>
  </si>
  <si>
    <t>이문e편한세상</t>
    <phoneticPr fontId="2" type="noConversion"/>
  </si>
  <si>
    <t>이문래미안2차</t>
    <phoneticPr fontId="2" type="noConversion"/>
  </si>
  <si>
    <t>이문아이파크자이</t>
    <phoneticPr fontId="2" type="noConversion"/>
  </si>
  <si>
    <t>이수 래미안로이파크</t>
    <phoneticPr fontId="2" type="noConversion"/>
  </si>
  <si>
    <t>이수힐스테이트</t>
    <phoneticPr fontId="2" type="noConversion"/>
  </si>
  <si>
    <t>이촌 한가람</t>
    <phoneticPr fontId="2" type="noConversion"/>
  </si>
  <si>
    <t>이촌코오롱</t>
    <phoneticPr fontId="2" type="noConversion"/>
  </si>
  <si>
    <t>인왕산현대아이파크</t>
    <phoneticPr fontId="2" type="noConversion"/>
  </si>
  <si>
    <t>인왕산현대힐스테이트</t>
    <phoneticPr fontId="2" type="noConversion"/>
  </si>
  <si>
    <t>일원 까치마을</t>
    <phoneticPr fontId="2" type="noConversion"/>
  </si>
  <si>
    <t>일원동 푸른마을</t>
    <phoneticPr fontId="2" type="noConversion"/>
  </si>
  <si>
    <t>자양 우성3차</t>
    <phoneticPr fontId="2" type="noConversion"/>
  </si>
  <si>
    <t>자양 우성7차</t>
    <phoneticPr fontId="2" type="noConversion"/>
  </si>
  <si>
    <t xml:space="preserve">자양 현대홈타운 7차 </t>
    <phoneticPr fontId="2" type="noConversion"/>
  </si>
  <si>
    <t>자양대동</t>
    <phoneticPr fontId="2" type="noConversion"/>
  </si>
  <si>
    <t>잠실 리센츠</t>
    <phoneticPr fontId="2" type="noConversion"/>
  </si>
  <si>
    <t>잠실 엘스</t>
    <phoneticPr fontId="2" type="noConversion"/>
  </si>
  <si>
    <t>잠실동 현대</t>
    <phoneticPr fontId="2" type="noConversion"/>
  </si>
  <si>
    <t>잠실올림픽공원아이파크</t>
    <phoneticPr fontId="2" type="noConversion"/>
  </si>
  <si>
    <t>잠실주공5</t>
    <phoneticPr fontId="2" type="noConversion"/>
  </si>
  <si>
    <t>잠원 한강</t>
    <phoneticPr fontId="2" type="noConversion"/>
  </si>
  <si>
    <t>잠원동아</t>
    <phoneticPr fontId="2" type="noConversion"/>
  </si>
  <si>
    <t>장미2차</t>
    <phoneticPr fontId="2" type="noConversion"/>
  </si>
  <si>
    <t>장안래미안1차</t>
    <phoneticPr fontId="2" type="noConversion"/>
  </si>
  <si>
    <t>장안래미안2차</t>
    <phoneticPr fontId="2" type="noConversion"/>
  </si>
  <si>
    <t>장위자이레디언트</t>
    <phoneticPr fontId="2" type="noConversion"/>
  </si>
  <si>
    <t>전농sk아파트</t>
    <phoneticPr fontId="2" type="noConversion"/>
  </si>
  <si>
    <t>정릉푸르지오</t>
    <phoneticPr fontId="2" type="noConversion"/>
  </si>
  <si>
    <t>정릉힐스테이트3차</t>
    <phoneticPr fontId="2" type="noConversion"/>
  </si>
  <si>
    <t>종로3</t>
    <phoneticPr fontId="2" type="noConversion"/>
  </si>
  <si>
    <t>종로센트레빌</t>
    <phoneticPr fontId="2" type="noConversion"/>
  </si>
  <si>
    <t>종로청계힐스테이트</t>
    <phoneticPr fontId="2" type="noConversion"/>
  </si>
  <si>
    <t>중계 건영3차</t>
    <phoneticPr fontId="2" type="noConversion"/>
  </si>
  <si>
    <t>중계 경남 롯데 상아</t>
    <phoneticPr fontId="2" type="noConversion"/>
  </si>
  <si>
    <t>중계 주공5</t>
    <phoneticPr fontId="2" type="noConversion"/>
  </si>
  <si>
    <t>중계그린</t>
    <phoneticPr fontId="2" type="noConversion"/>
  </si>
  <si>
    <t>중림사이버빌리지</t>
    <phoneticPr fontId="2" type="noConversion"/>
  </si>
  <si>
    <t>중앙하이츠빌</t>
    <phoneticPr fontId="2" type="noConversion"/>
  </si>
  <si>
    <t>중화 리버센SK뷰롯데캐슬</t>
    <phoneticPr fontId="2" type="noConversion"/>
  </si>
  <si>
    <t>증산 DMC센트럴자이</t>
    <phoneticPr fontId="2" type="noConversion"/>
  </si>
  <si>
    <t>은평2</t>
    <phoneticPr fontId="2" type="noConversion"/>
  </si>
  <si>
    <t>진관 은평뉴타운구파발9래미안</t>
    <phoneticPr fontId="2" type="noConversion"/>
  </si>
  <si>
    <t>진관 은평스카이뷰자이(주복)</t>
    <phoneticPr fontId="2" type="noConversion"/>
  </si>
  <si>
    <t>도봉1</t>
    <phoneticPr fontId="2" type="noConversion"/>
  </si>
  <si>
    <t>창동 동아청솔</t>
    <phoneticPr fontId="2" type="noConversion"/>
  </si>
  <si>
    <t>창동 북한산아이파크</t>
    <phoneticPr fontId="2" type="noConversion"/>
  </si>
  <si>
    <t>창동대림e편한세상</t>
    <phoneticPr fontId="2" type="noConversion"/>
  </si>
  <si>
    <t>창동삼성래미안</t>
    <phoneticPr fontId="2" type="noConversion"/>
  </si>
  <si>
    <t>창동주공18</t>
    <phoneticPr fontId="2" type="noConversion"/>
  </si>
  <si>
    <t>창신쌍용1</t>
    <phoneticPr fontId="2" type="noConversion"/>
  </si>
  <si>
    <t>천왕 이펜하우스3</t>
    <phoneticPr fontId="2" type="noConversion"/>
  </si>
  <si>
    <t>청계한신휴플러스</t>
    <phoneticPr fontId="2" type="noConversion"/>
  </si>
  <si>
    <t>청계현대</t>
    <phoneticPr fontId="2" type="noConversion"/>
  </si>
  <si>
    <t>청구e편한세상</t>
    <phoneticPr fontId="2" type="noConversion"/>
  </si>
  <si>
    <t>청담자이</t>
    <phoneticPr fontId="2" type="noConversion"/>
  </si>
  <si>
    <t>청량리롯데캐슬SKY-L65</t>
    <phoneticPr fontId="2" type="noConversion"/>
  </si>
  <si>
    <t>푸른마을4</t>
    <phoneticPr fontId="2" type="noConversion"/>
  </si>
  <si>
    <t>풍납 현대리버빌2차</t>
    <phoneticPr fontId="2" type="noConversion"/>
  </si>
  <si>
    <t>하계 청구</t>
    <phoneticPr fontId="2" type="noConversion"/>
  </si>
  <si>
    <t>하계 현대우성</t>
    <phoneticPr fontId="2" type="noConversion"/>
  </si>
  <si>
    <t>한신청구</t>
    <phoneticPr fontId="2" type="noConversion"/>
  </si>
  <si>
    <t>한신한진</t>
    <phoneticPr fontId="2" type="noConversion"/>
  </si>
  <si>
    <t>항동 서울수목원현대홈타운스위트</t>
    <phoneticPr fontId="2" type="noConversion"/>
  </si>
  <si>
    <t>항동 하버라인3</t>
    <phoneticPr fontId="2" type="noConversion"/>
  </si>
  <si>
    <t>헬리오시티</t>
    <phoneticPr fontId="2" type="noConversion"/>
  </si>
  <si>
    <t>홍은벽산</t>
    <phoneticPr fontId="2" type="noConversion"/>
  </si>
  <si>
    <t>홍제역해링턴플레이스</t>
    <phoneticPr fontId="2" type="noConversion"/>
  </si>
  <si>
    <t>휘경sk뷰</t>
    <phoneticPr fontId="2" type="noConversion"/>
  </si>
  <si>
    <t>휘경동일하이빌</t>
    <phoneticPr fontId="2" type="noConversion"/>
  </si>
  <si>
    <t>휘경자이디센시아</t>
    <phoneticPr fontId="2" type="noConversion"/>
  </si>
  <si>
    <t>동작1</t>
    <phoneticPr fontId="2" type="noConversion"/>
  </si>
  <si>
    <t>흑석 명수대현대</t>
    <phoneticPr fontId="2" type="noConversion"/>
  </si>
  <si>
    <t>흑석 아크로리버하임</t>
    <phoneticPr fontId="2" type="noConversion"/>
  </si>
  <si>
    <t>흑석 한강센트레빌1차</t>
    <phoneticPr fontId="2" type="noConversion"/>
  </si>
  <si>
    <t>흑석 한강푸르지오</t>
    <phoneticPr fontId="2" type="noConversion"/>
  </si>
  <si>
    <t>흑석우리유앤미</t>
    <phoneticPr fontId="2" type="noConversion"/>
  </si>
  <si>
    <t>흑석자이</t>
    <phoneticPr fontId="2" type="noConversion"/>
  </si>
  <si>
    <t>힐스테이트관악센트씨엘</t>
    <phoneticPr fontId="2" type="noConversion"/>
  </si>
  <si>
    <t>힐스테이트뉴포레</t>
    <phoneticPr fontId="2" type="noConversion"/>
  </si>
  <si>
    <t>힐스테이트상도센트럴파크</t>
    <phoneticPr fontId="2" type="noConversion"/>
  </si>
  <si>
    <t>힐스테이트상도프레스티지</t>
    <phoneticPr fontId="2" type="noConversion"/>
  </si>
  <si>
    <t>힐스테이트서울숲리버</t>
    <phoneticPr fontId="2" type="noConversion"/>
  </si>
  <si>
    <t>구축</t>
    <phoneticPr fontId="2" type="noConversion"/>
  </si>
  <si>
    <t>대단지</t>
    <phoneticPr fontId="2" type="noConversion"/>
  </si>
  <si>
    <t>강남3</t>
    <phoneticPr fontId="2" type="noConversion"/>
  </si>
  <si>
    <t>강남</t>
    <phoneticPr fontId="2" type="noConversion"/>
  </si>
  <si>
    <t xml:space="preserve"> 강남구 역삼로 307 (역삼동 711-1)</t>
  </si>
  <si>
    <t>서울도성초</t>
  </si>
  <si>
    <t>준신축</t>
    <phoneticPr fontId="2" type="noConversion"/>
  </si>
  <si>
    <t>소단지</t>
    <phoneticPr fontId="2" type="noConversion"/>
  </si>
  <si>
    <t>강남2</t>
    <phoneticPr fontId="2" type="noConversion"/>
  </si>
  <si>
    <t>강남4</t>
    <phoneticPr fontId="2" type="noConversion"/>
  </si>
  <si>
    <t>서울언북초</t>
  </si>
  <si>
    <t>강남1</t>
    <phoneticPr fontId="2" type="noConversion"/>
  </si>
  <si>
    <t xml:space="preserve"> 강남구 영동대로138길 12 (청담동 134-38)</t>
  </si>
  <si>
    <t>서울봉은초</t>
  </si>
  <si>
    <t>중단지</t>
    <phoneticPr fontId="2" type="noConversion"/>
  </si>
  <si>
    <t xml:space="preserve"> 강남구 광평로 196 (일원동 719)</t>
  </si>
  <si>
    <t>서울일원초</t>
  </si>
  <si>
    <t xml:space="preserve"> 강남구 광평로10길 15 (일원동 711)</t>
  </si>
  <si>
    <t>서울왕북초</t>
  </si>
  <si>
    <t xml:space="preserve"> 강남구 언주로 408 (역삼동 711-2)</t>
  </si>
  <si>
    <t>신축</t>
    <phoneticPr fontId="2" type="noConversion"/>
  </si>
  <si>
    <t>서울도곡초</t>
  </si>
  <si>
    <t xml:space="preserve"> 강남구 압구정로 201 (압구정동 444)</t>
  </si>
  <si>
    <t>서울신구초</t>
  </si>
  <si>
    <t>서울학동초</t>
  </si>
  <si>
    <t>강남</t>
    <phoneticPr fontId="2" type="noConversion"/>
  </si>
  <si>
    <t>구축</t>
    <phoneticPr fontId="2" type="noConversion"/>
  </si>
  <si>
    <t>계단식</t>
    <phoneticPr fontId="2" type="noConversion"/>
  </si>
  <si>
    <t>중단지</t>
    <phoneticPr fontId="2" type="noConversion"/>
  </si>
  <si>
    <t xml:space="preserve"> 강남구 학동로68길 29 (삼성동 11)</t>
  </si>
  <si>
    <t>삼성힐스테이트2</t>
    <phoneticPr fontId="2" type="noConversion"/>
  </si>
  <si>
    <t>준신축</t>
    <phoneticPr fontId="2" type="noConversion"/>
  </si>
  <si>
    <t>강남2</t>
    <phoneticPr fontId="2" type="noConversion"/>
  </si>
  <si>
    <t>강남1</t>
    <phoneticPr fontId="2" type="noConversion"/>
  </si>
  <si>
    <t xml:space="preserve"> 강남구 학동로68길 7 (삼성동 16-2)</t>
  </si>
  <si>
    <t>삼성힐스테이트1</t>
    <phoneticPr fontId="2" type="noConversion"/>
  </si>
  <si>
    <t>대단지</t>
    <phoneticPr fontId="2" type="noConversion"/>
  </si>
  <si>
    <t xml:space="preserve"> 강남구 학동로81길 11 (삼성동 57-1)</t>
  </si>
  <si>
    <t>서울삼릉초</t>
  </si>
  <si>
    <t>삼성청담공원</t>
    <phoneticPr fontId="2" type="noConversion"/>
  </si>
  <si>
    <t xml:space="preserve"> 강남구 삼성로115길 10 (삼성동 188)</t>
  </si>
  <si>
    <t>신축</t>
    <phoneticPr fontId="2" type="noConversion"/>
  </si>
  <si>
    <t xml:space="preserve"> 강남구 삼성로 609 (삼성동 19-1)</t>
  </si>
  <si>
    <t>서울자곡초</t>
  </si>
  <si>
    <t>서울개포초</t>
  </si>
  <si>
    <t xml:space="preserve"> 강남구 삼성로51길 37 (대치동 633)</t>
  </si>
  <si>
    <t xml:space="preserve"> 강남구 언주로 33 (개포동 660-1)</t>
  </si>
  <si>
    <t>디에이치퍼스티어아이파크</t>
    <phoneticPr fontId="2" type="noConversion"/>
  </si>
  <si>
    <t xml:space="preserve"> 강남구 영동대로 22 (일원동 688)</t>
  </si>
  <si>
    <t xml:space="preserve"> 강남구 도곡로 242 (도곡동 91-5)</t>
  </si>
  <si>
    <t>도곡삼성래미안</t>
    <phoneticPr fontId="2" type="noConversion"/>
  </si>
  <si>
    <t>서울대도초</t>
  </si>
  <si>
    <t xml:space="preserve"> 강남구 선릉로 221 (도곡동 527)</t>
  </si>
  <si>
    <t xml:space="preserve"> 강남구 언주로 123 (도곡동 453)</t>
  </si>
  <si>
    <t>서울포이초</t>
  </si>
  <si>
    <t>도곡경남</t>
    <phoneticPr fontId="2" type="noConversion"/>
  </si>
  <si>
    <t xml:space="preserve"> 강남구 삼성로64길 5 (대치동 974)</t>
  </si>
  <si>
    <t>서울대현초</t>
  </si>
  <si>
    <t xml:space="preserve"> 강남구 선릉로 222 (대치동 1027)</t>
  </si>
  <si>
    <t>대치아이파크</t>
    <phoneticPr fontId="2" type="noConversion"/>
  </si>
  <si>
    <t xml:space="preserve"> 강남구 영동대로57길 4 (대치동 1014-3)</t>
  </si>
  <si>
    <t xml:space="preserve"> 강남구 강남대로146길 28 (논현동 22)</t>
  </si>
  <si>
    <t>서울논현초</t>
  </si>
  <si>
    <t xml:space="preserve"> 강남구 언주로 123 (개포동 464)</t>
  </si>
  <si>
    <t xml:space="preserve"> 강남구 개포로 516 (개포동 185)</t>
  </si>
  <si>
    <t>서울양전초</t>
  </si>
  <si>
    <t>서울개원초</t>
  </si>
  <si>
    <t xml:space="preserve"> 강남구 개포로 109길 5 (개포동 175)</t>
  </si>
  <si>
    <t>개포대치2</t>
    <phoneticPr fontId="2" type="noConversion"/>
  </si>
  <si>
    <t xml:space="preserve"> 강남구 개포로 402 (개포동 653)</t>
  </si>
  <si>
    <t xml:space="preserve"> 강남구 자곡로 175 (자곡동 618)</t>
  </si>
  <si>
    <t>강남 자곡아이파크</t>
    <phoneticPr fontId="2" type="noConversion"/>
  </si>
  <si>
    <t xml:space="preserve"> 강남구 자곡로 55 (세곡동 588)</t>
  </si>
  <si>
    <t>서울세곡초</t>
  </si>
  <si>
    <t>강남 세곡푸르지오</t>
    <phoneticPr fontId="2" type="noConversion"/>
  </si>
  <si>
    <t>강동</t>
    <phoneticPr fontId="2" type="noConversion"/>
  </si>
  <si>
    <t>서울신암초</t>
  </si>
  <si>
    <t>강동2</t>
    <phoneticPr fontId="2" type="noConversion"/>
  </si>
  <si>
    <t xml:space="preserve"> 강동구 고덕로 131 (암사동 414-2)</t>
  </si>
  <si>
    <t>서울명일초</t>
  </si>
  <si>
    <t xml:space="preserve"> 강동구 양재대로 1340 (둔촌동 170-1)</t>
  </si>
  <si>
    <t>서울둔촌/위례</t>
  </si>
  <si>
    <t xml:space="preserve"> 강동구 성안로 85 (성내동 586)</t>
  </si>
  <si>
    <t>서울성내초</t>
  </si>
  <si>
    <t xml:space="preserve"> 강동구 성내동 451-1</t>
  </si>
  <si>
    <t xml:space="preserve"> 강동구 상암로 11 (암사동 509)</t>
  </si>
  <si>
    <t xml:space="preserve"> 강동구 고덕로 210 (명일동 15)</t>
  </si>
  <si>
    <t>서울고명초</t>
  </si>
  <si>
    <t xml:space="preserve"> 강동구 고덕로 186 (고덕동 691)</t>
  </si>
  <si>
    <t>서울묘곡초</t>
  </si>
  <si>
    <t xml:space="preserve"> 강동구 양재대로 1650 (명일동 357)</t>
  </si>
  <si>
    <t xml:space="preserve"> 강동구 천호대로 1077 (천호동 571)</t>
  </si>
  <si>
    <t>서울천동초</t>
  </si>
  <si>
    <t>서울선린초</t>
  </si>
  <si>
    <t xml:space="preserve"> 강동구 명일로 172 (둔촌동 632)</t>
  </si>
  <si>
    <t>둔촌푸르지오</t>
    <phoneticPr fontId="2" type="noConversion"/>
  </si>
  <si>
    <t xml:space="preserve"> 강동구 천호대로 1182 (둔촌동 609)</t>
  </si>
  <si>
    <t>서울둔촌초</t>
  </si>
  <si>
    <t xml:space="preserve"> 강동구 상일로 126 (상일동 494)</t>
  </si>
  <si>
    <t>서울강명초</t>
  </si>
  <si>
    <t>고덕리엔파크3</t>
    <phoneticPr fontId="2" type="noConversion"/>
  </si>
  <si>
    <t xml:space="preserve"> 강동구 아리수로 50길 50 (고덕동 670)</t>
  </si>
  <si>
    <t>서울강동초</t>
  </si>
  <si>
    <t>고덕래미안힐스테이트</t>
    <phoneticPr fontId="2" type="noConversion"/>
  </si>
  <si>
    <t xml:space="preserve"> 강동구 고덕로 333 (고덕동 694)</t>
  </si>
  <si>
    <t>서울강덕초</t>
  </si>
  <si>
    <t xml:space="preserve"> 강동구 신동아길 15 (길동 160)</t>
  </si>
  <si>
    <t>서울신명초</t>
  </si>
  <si>
    <t>강북</t>
    <phoneticPr fontId="2" type="noConversion"/>
  </si>
  <si>
    <t xml:space="preserve"> 강북구 도봉로 10길 54 (수유동 734)</t>
  </si>
  <si>
    <t>서울수유초</t>
  </si>
  <si>
    <t xml:space="preserve"> 강북구 한천로 105길 23 (번동 201)</t>
  </si>
  <si>
    <t>서울번동초</t>
  </si>
  <si>
    <t>서울송천초</t>
  </si>
  <si>
    <t>강북구 삼양로27길 19</t>
  </si>
  <si>
    <t>서울삼양초</t>
  </si>
  <si>
    <t>강북구 인수봉로 75</t>
  </si>
  <si>
    <t>강북구 오현로9길 85</t>
  </si>
  <si>
    <t>서울송중초</t>
  </si>
  <si>
    <t>강북구 오현로 56</t>
  </si>
  <si>
    <t>강북구 솔샘로 174</t>
  </si>
  <si>
    <t>강서4</t>
    <phoneticPr fontId="2" type="noConversion"/>
  </si>
  <si>
    <t>강서</t>
    <phoneticPr fontId="2" type="noConversion"/>
  </si>
  <si>
    <t>강서구 강서로 348</t>
  </si>
  <si>
    <t>서울내발산초</t>
  </si>
  <si>
    <t>서울염창초</t>
  </si>
  <si>
    <t>강서구 양천로71길 40</t>
  </si>
  <si>
    <t>서울염동초</t>
  </si>
  <si>
    <t>서울염경초</t>
  </si>
  <si>
    <t>서울유석초</t>
  </si>
  <si>
    <t>강서구 양천로 641</t>
  </si>
  <si>
    <t>강서구 양천로71길 9</t>
  </si>
  <si>
    <t>강서구 양천로75길 55</t>
  </si>
  <si>
    <t>염창 강변힐스테이트</t>
    <phoneticPr fontId="2" type="noConversion"/>
  </si>
  <si>
    <t>강서구 양천로75길 37</t>
  </si>
  <si>
    <t>강서구 양천로 646</t>
  </si>
  <si>
    <t>서울치현초</t>
  </si>
  <si>
    <t>강서구 양천로11길 11</t>
  </si>
  <si>
    <t>서울방화초</t>
  </si>
  <si>
    <t>강서구 금낭화로 190</t>
  </si>
  <si>
    <t>강서구 금낭화로 222</t>
  </si>
  <si>
    <t>서울삼정초</t>
  </si>
  <si>
    <t>강서구 방화대로47길 11</t>
  </si>
  <si>
    <t>강서구 마곡중앙로 33</t>
  </si>
  <si>
    <t>서울공항초</t>
  </si>
  <si>
    <t>강서구 마곡중앙로 15</t>
  </si>
  <si>
    <t>서울공진초</t>
  </si>
  <si>
    <t>강서구 마곡서로 101</t>
  </si>
  <si>
    <t>강서구 마곡서1로 111</t>
  </si>
  <si>
    <t>마곡 마곡엠밸리4</t>
    <phoneticPr fontId="2" type="noConversion"/>
  </si>
  <si>
    <t>서울가곡초</t>
  </si>
  <si>
    <t>강서구 마곡중앙로 10</t>
  </si>
  <si>
    <t>강서구 마곡서1로 146</t>
  </si>
  <si>
    <t>강서구 마곡중앙1로 72</t>
  </si>
  <si>
    <t>서울등촌초</t>
  </si>
  <si>
    <t>서울등양초</t>
  </si>
  <si>
    <t>강서구 강서로56길 100</t>
  </si>
  <si>
    <t>서울등현초</t>
  </si>
  <si>
    <t>강서구 강서로56길 44</t>
  </si>
  <si>
    <t>강서구 등촌로 163</t>
  </si>
  <si>
    <t>서울등마초</t>
  </si>
  <si>
    <t>강서구 화곡로 316</t>
  </si>
  <si>
    <t>강서구 화곡로65길 41</t>
  </si>
  <si>
    <t>강서구 화곡로 398</t>
  </si>
  <si>
    <t>서울수명초</t>
  </si>
  <si>
    <t>강서구 수명로 73</t>
  </si>
  <si>
    <t>내발산 마곡수명산파크4</t>
    <phoneticPr fontId="2" type="noConversion"/>
  </si>
  <si>
    <t>강서구 수명로 11</t>
  </si>
  <si>
    <t>서울양천초</t>
  </si>
  <si>
    <t>서울가양초</t>
  </si>
  <si>
    <t>강서구 양천로 400-12</t>
  </si>
  <si>
    <t>가양 강서한강자이</t>
    <phoneticPr fontId="2" type="noConversion"/>
  </si>
  <si>
    <t>강서구 양천로 510</t>
  </si>
  <si>
    <t>가양 강나루현대</t>
    <phoneticPr fontId="2" type="noConversion"/>
  </si>
  <si>
    <t>관악</t>
    <phoneticPr fontId="2" type="noConversion"/>
  </si>
  <si>
    <t>관악구 조원로 40</t>
  </si>
  <si>
    <t>서울조원초</t>
  </si>
  <si>
    <t>관악구 성현로 80</t>
  </si>
  <si>
    <t>서울봉현초</t>
  </si>
  <si>
    <t>관악구 관악로 272</t>
  </si>
  <si>
    <t>서울원당초</t>
  </si>
  <si>
    <t>서울구암초</t>
  </si>
  <si>
    <t>관악구 봉천로 457</t>
  </si>
  <si>
    <t>서울은천초</t>
  </si>
  <si>
    <t>봉천두산</t>
    <phoneticPr fontId="2" type="noConversion"/>
  </si>
  <si>
    <t>관악4</t>
    <phoneticPr fontId="2" type="noConversion"/>
  </si>
  <si>
    <t>관악구 난곡로 63</t>
  </si>
  <si>
    <t>서울난우초</t>
  </si>
  <si>
    <t>관악구 은천로 93</t>
  </si>
  <si>
    <t>관악동부센트레빌</t>
    <phoneticPr fontId="2" type="noConversion"/>
  </si>
  <si>
    <t>관악구 관악로 271</t>
  </si>
  <si>
    <t>서울관악초</t>
  </si>
  <si>
    <t>광진4</t>
    <phoneticPr fontId="2" type="noConversion"/>
  </si>
  <si>
    <t>광진</t>
    <phoneticPr fontId="2" type="noConversion"/>
  </si>
  <si>
    <t>광진구 광나루로56길 29</t>
  </si>
  <si>
    <t>서울구남초</t>
  </si>
  <si>
    <t>현대프라임</t>
    <phoneticPr fontId="2" type="noConversion"/>
  </si>
  <si>
    <t>서울양남초</t>
  </si>
  <si>
    <t>광진구 뚝섬로52길 62</t>
  </si>
  <si>
    <t>서울자양초</t>
  </si>
  <si>
    <t>광진구 뚝섬로56길 31</t>
  </si>
  <si>
    <t>광진구 뚝섬로52길 22</t>
  </si>
  <si>
    <t>서울신자초</t>
  </si>
  <si>
    <t>광진구 뚝섬로52길 34</t>
  </si>
  <si>
    <t>광진구 뚝섬로56길 40</t>
  </si>
  <si>
    <t>자양 로얄동아</t>
    <phoneticPr fontId="2" type="noConversion"/>
  </si>
  <si>
    <t>광진구 능동로 1</t>
  </si>
  <si>
    <t>서울경수초</t>
  </si>
  <si>
    <t>서울구의초</t>
  </si>
  <si>
    <t>광진구 아차산로 537</t>
  </si>
  <si>
    <t>서울양진초</t>
  </si>
  <si>
    <t>광진구 광장로 7</t>
  </si>
  <si>
    <t>서울광장초</t>
  </si>
  <si>
    <t>광진구 광장로1길 33</t>
  </si>
  <si>
    <t>광진구 광나루로 619</t>
  </si>
  <si>
    <t>광장현대5</t>
    <phoneticPr fontId="2" type="noConversion"/>
  </si>
  <si>
    <t>광진구 광나루로 592</t>
  </si>
  <si>
    <t>광진구 아차산로 552</t>
  </si>
  <si>
    <t>광진구 아차산로 542</t>
  </si>
  <si>
    <t>구로</t>
    <phoneticPr fontId="2" type="noConversion"/>
  </si>
  <si>
    <t>구로구 연동로 231</t>
  </si>
  <si>
    <t>서울항동초</t>
  </si>
  <si>
    <t>구로구 서해안로 2102</t>
  </si>
  <si>
    <t>구로구 천왕로 29</t>
  </si>
  <si>
    <t>서울천왕초</t>
  </si>
  <si>
    <t>구로구 부일로1길 50</t>
  </si>
  <si>
    <t>서울온수초</t>
  </si>
  <si>
    <t>구로구 경인로20가길 38</t>
  </si>
  <si>
    <t>서울오류남초</t>
  </si>
  <si>
    <t>구로구 고척로1길 35</t>
  </si>
  <si>
    <t>서울오류초</t>
  </si>
  <si>
    <t>구로구 오류로 21</t>
  </si>
  <si>
    <t>구로구 신도림로 87</t>
  </si>
  <si>
    <t>서울신도림초</t>
  </si>
  <si>
    <t>구로구 경인로63길 21</t>
  </si>
  <si>
    <t>구로구 경인로 643</t>
  </si>
  <si>
    <t>구로구 신도림로 11길 9</t>
  </si>
  <si>
    <t>구로구 경인로 661</t>
  </si>
  <si>
    <t>구로구 구로중앙로28길 61</t>
  </si>
  <si>
    <t>서울구로초</t>
  </si>
  <si>
    <t>구로구 구일로 110</t>
  </si>
  <si>
    <t>서울구일초</t>
  </si>
  <si>
    <t>구로 주공1차</t>
    <phoneticPr fontId="2" type="noConversion"/>
  </si>
  <si>
    <t>구로구 신도림로 11</t>
  </si>
  <si>
    <t>서울미래초</t>
  </si>
  <si>
    <t>구로구 구로중앙로 20</t>
  </si>
  <si>
    <t>구로구 구로중앙로 10</t>
  </si>
  <si>
    <t>구로구 중앙로6길 17</t>
  </si>
  <si>
    <t>서울덕의초</t>
  </si>
  <si>
    <t>구로구 중앙로3길 50</t>
  </si>
  <si>
    <t>구로구 경인로 382</t>
  </si>
  <si>
    <t>서울경인초</t>
  </si>
  <si>
    <t>고척 삼환로즈빌</t>
    <phoneticPr fontId="2" type="noConversion"/>
  </si>
  <si>
    <t>구로구 고척로52길 48</t>
  </si>
  <si>
    <t>서울고척초</t>
  </si>
  <si>
    <t>구로구 개봉로 1</t>
  </si>
  <si>
    <t>서울개봉초</t>
  </si>
  <si>
    <t>구로구 경인로31길 63</t>
  </si>
  <si>
    <t>서울개웅초</t>
  </si>
  <si>
    <t>개봉 한진타운</t>
    <phoneticPr fontId="2" type="noConversion"/>
  </si>
  <si>
    <t>구로구 경인로 311</t>
  </si>
  <si>
    <t>개봉 한마을</t>
    <phoneticPr fontId="2" type="noConversion"/>
  </si>
  <si>
    <t>구로구 개봉로1길 118</t>
  </si>
  <si>
    <t>서울개명초</t>
  </si>
  <si>
    <t>구로구 개봉로3길 84</t>
  </si>
  <si>
    <t>금천</t>
    <phoneticPr fontId="2" type="noConversion"/>
  </si>
  <si>
    <t>금천구 시흥대로 301</t>
  </si>
  <si>
    <t>서울나래초</t>
  </si>
  <si>
    <t>금천구 시흥대로 165</t>
  </si>
  <si>
    <t>서울문백초</t>
  </si>
  <si>
    <t>금천3</t>
    <phoneticPr fontId="2" type="noConversion"/>
  </si>
  <si>
    <t>금천구 금하로 763</t>
  </si>
  <si>
    <t>서울백산초</t>
  </si>
  <si>
    <t>금천구 시흥대로123길 11</t>
  </si>
  <si>
    <t>서울독산초</t>
  </si>
  <si>
    <t>금천4</t>
    <phoneticPr fontId="2" type="noConversion"/>
  </si>
  <si>
    <t>금천구 독산로10길 100</t>
  </si>
  <si>
    <t>서울영남초</t>
  </si>
  <si>
    <t>노원</t>
    <phoneticPr fontId="2" type="noConversion"/>
  </si>
  <si>
    <t>노원구 섬밭로 196</t>
  </si>
  <si>
    <t>서울연촌초</t>
  </si>
  <si>
    <t>노원구 노원로 252</t>
  </si>
  <si>
    <t>서울골든초</t>
  </si>
  <si>
    <t>노원구 섬밭로 285</t>
  </si>
  <si>
    <t>서울중계초</t>
  </si>
  <si>
    <t>노원구 중계로 170</t>
  </si>
  <si>
    <t>중계 한화꿈에그린</t>
    <phoneticPr fontId="2" type="noConversion"/>
  </si>
  <si>
    <t>노원구 중계로 190</t>
  </si>
  <si>
    <t>서울원광초</t>
  </si>
  <si>
    <t>노원구 중계로 230</t>
  </si>
  <si>
    <t>서울을지초</t>
  </si>
  <si>
    <t xml:space="preserve"> 노원구 중계로 230</t>
  </si>
  <si>
    <t xml:space="preserve"> 노원구 한글비석로 270</t>
  </si>
  <si>
    <t>노원3</t>
    <phoneticPr fontId="2" type="noConversion"/>
  </si>
  <si>
    <t xml:space="preserve"> 노원구 월계로 320</t>
  </si>
  <si>
    <t>서울신계초</t>
  </si>
  <si>
    <t>노원4</t>
    <phoneticPr fontId="2" type="noConversion"/>
  </si>
  <si>
    <t xml:space="preserve"> 노원구 마들로 53</t>
  </si>
  <si>
    <t>서울연지초</t>
  </si>
  <si>
    <t xml:space="preserve"> 노원구 월계로45가길 94</t>
  </si>
  <si>
    <t xml:space="preserve"> 노원구 마들로 111</t>
  </si>
  <si>
    <t>서울한천초</t>
  </si>
  <si>
    <t xml:space="preserve"> 노원구 동일로 1519</t>
  </si>
  <si>
    <t>서울상계초</t>
  </si>
  <si>
    <t xml:space="preserve"> 노원구 덕릉로 662</t>
  </si>
  <si>
    <t xml:space="preserve"> 노원구 노원로 495</t>
  </si>
  <si>
    <t xml:space="preserve"> 노원구 노원로 455</t>
  </si>
  <si>
    <t xml:space="preserve"> 노원구 동일로 1530</t>
  </si>
  <si>
    <t>서울상곡초</t>
  </si>
  <si>
    <t xml:space="preserve"> 노원구 한글비석로 383</t>
  </si>
  <si>
    <t xml:space="preserve"> 노원구 섬밭로 79</t>
  </si>
  <si>
    <t>서울공릉초</t>
  </si>
  <si>
    <t xml:space="preserve"> 노원구 공릉로 232</t>
  </si>
  <si>
    <t>서울공연초</t>
  </si>
  <si>
    <t>공릉 태릉해링턴플레이스</t>
    <phoneticPr fontId="2" type="noConversion"/>
  </si>
  <si>
    <t xml:space="preserve"> 노원구 광운로 66</t>
  </si>
  <si>
    <t>서울선곡초</t>
  </si>
  <si>
    <t>공릉 동신</t>
    <phoneticPr fontId="2" type="noConversion"/>
  </si>
  <si>
    <t xml:space="preserve"> 노원구 노원로1길 67</t>
  </si>
  <si>
    <t>서울태릉초</t>
  </si>
  <si>
    <t>도봉</t>
    <phoneticPr fontId="2" type="noConversion"/>
  </si>
  <si>
    <t xml:space="preserve"> 도봉구 마들로 550</t>
  </si>
  <si>
    <t>서울월천초</t>
  </si>
  <si>
    <t>태영창동데시앙</t>
    <phoneticPr fontId="2" type="noConversion"/>
  </si>
  <si>
    <t xml:space="preserve"> 도봉구 마들로 740</t>
  </si>
  <si>
    <t>서울창원초</t>
  </si>
  <si>
    <t xml:space="preserve"> 도봉구 노해로 315</t>
  </si>
  <si>
    <t>서울창동초</t>
  </si>
  <si>
    <t>창동주공1</t>
    <phoneticPr fontId="2" type="noConversion"/>
  </si>
  <si>
    <t xml:space="preserve"> 도봉구 노해로 341</t>
  </si>
  <si>
    <t xml:space="preserve"> 도봉구 도봉로136길 111</t>
  </si>
  <si>
    <t xml:space="preserve"> 도봉구 해등로 125</t>
  </si>
  <si>
    <t>서울창일초</t>
  </si>
  <si>
    <t xml:space="preserve"> 도봉구 노해로 391</t>
  </si>
  <si>
    <t>서울자운초</t>
  </si>
  <si>
    <t xml:space="preserve"> 도봉구 해등로 218</t>
  </si>
  <si>
    <t>서울한신초</t>
  </si>
  <si>
    <t xml:space="preserve"> 도봉구 시루봉로 58</t>
  </si>
  <si>
    <t>서울숭미초</t>
  </si>
  <si>
    <t xml:space="preserve"> 도봉구 시루봉로 70</t>
  </si>
  <si>
    <t xml:space="preserve"> 도봉구 시루봉로 183</t>
  </si>
  <si>
    <t>서울신학초</t>
  </si>
  <si>
    <t xml:space="preserve"> 도봉구 마들로 684</t>
  </si>
  <si>
    <t>서울창도초</t>
  </si>
  <si>
    <t xml:space="preserve"> 도봉구 도봉로180길 85</t>
  </si>
  <si>
    <t>서울도봉초</t>
  </si>
  <si>
    <t xml:space="preserve"> 도봉구 도봉로163길 46</t>
  </si>
  <si>
    <t>서울오봉초</t>
  </si>
  <si>
    <t>동대문</t>
    <phoneticPr fontId="2" type="noConversion"/>
  </si>
  <si>
    <t xml:space="preserve"> 동대문구 천호대로 133</t>
  </si>
  <si>
    <t>서울신답초</t>
  </si>
  <si>
    <t>힐스테이트청계</t>
    <phoneticPr fontId="2" type="noConversion"/>
  </si>
  <si>
    <t>서울휘봉초</t>
  </si>
  <si>
    <t>서울휘경초</t>
  </si>
  <si>
    <t xml:space="preserve"> 동대문구 망우로 123</t>
  </si>
  <si>
    <t xml:space="preserve"> 동대문구 한천로 258</t>
  </si>
  <si>
    <t xml:space="preserve"> 동대문구 망우로21길 53</t>
  </si>
  <si>
    <t xml:space="preserve"> 동대문구 답십리로1길 34</t>
  </si>
  <si>
    <t xml:space="preserve"> 동대문구 천호대로 131</t>
  </si>
  <si>
    <t xml:space="preserve"> 동대문구 황물로 132</t>
  </si>
  <si>
    <t>서울답십리초</t>
  </si>
  <si>
    <t>서울종암초</t>
  </si>
  <si>
    <t>서울전농초</t>
  </si>
  <si>
    <t>서울배봉초</t>
  </si>
  <si>
    <t xml:space="preserve"> 동대문구 전농로 222</t>
  </si>
  <si>
    <t>서울안평초</t>
  </si>
  <si>
    <t xml:space="preserve"> 동대문구 장한로26길 58</t>
  </si>
  <si>
    <t xml:space="preserve"> 동대문구 장한로25길 55</t>
  </si>
  <si>
    <t>서울은석초(사립)</t>
  </si>
  <si>
    <t>-</t>
  </si>
  <si>
    <t>서울장평초(공립)</t>
  </si>
  <si>
    <t xml:space="preserve"> 동대문구 이문로 107</t>
  </si>
  <si>
    <t>서울이문초</t>
  </si>
  <si>
    <t xml:space="preserve"> 동대문구 이문로 33</t>
  </si>
  <si>
    <t xml:space="preserve"> 동대문구 한천로 438</t>
  </si>
  <si>
    <t xml:space="preserve"> 동대문구 무학로 133</t>
  </si>
  <si>
    <t>용두래미안허브리츠</t>
    <phoneticPr fontId="2" type="noConversion"/>
  </si>
  <si>
    <t xml:space="preserve"> 동대문구 사가정로 65</t>
  </si>
  <si>
    <t xml:space="preserve"> 동대문구 무학로 156</t>
  </si>
  <si>
    <t xml:space="preserve"> 동대문구 사가정로 142</t>
  </si>
  <si>
    <t xml:space="preserve"> 동대문구 답십리로 166</t>
  </si>
  <si>
    <t xml:space="preserve"> 동대문구 답십리로 111</t>
  </si>
  <si>
    <t>서울군자초</t>
  </si>
  <si>
    <t>동작</t>
    <phoneticPr fontId="2" type="noConversion"/>
  </si>
  <si>
    <t xml:space="preserve"> 동작구 상도로 346-1</t>
  </si>
  <si>
    <t>서울상도초</t>
  </si>
  <si>
    <t>서울은로초</t>
  </si>
  <si>
    <t xml:space="preserve"> 동작구 서달로 91</t>
  </si>
  <si>
    <t xml:space="preserve"> 동작구 현충로 120</t>
  </si>
  <si>
    <t>서울흑석초</t>
  </si>
  <si>
    <t xml:space="preserve"> 동작구 흑석한강로 27</t>
  </si>
  <si>
    <t xml:space="preserve"> 동작구 서달로 153</t>
  </si>
  <si>
    <t xml:space="preserve"> 동작구 현충로 52</t>
  </si>
  <si>
    <t xml:space="preserve"> 동작구 현충로 115</t>
  </si>
  <si>
    <t xml:space="preserve"> 동작구 동작대로35길 20</t>
  </si>
  <si>
    <t>서울동작초</t>
  </si>
  <si>
    <t xml:space="preserve"> 동작구 사당로 155</t>
  </si>
  <si>
    <t>서울남사초</t>
  </si>
  <si>
    <t xml:space="preserve"> 동작구 사당로27길 60</t>
  </si>
  <si>
    <t>서울대방초</t>
  </si>
  <si>
    <t>서울대길초</t>
  </si>
  <si>
    <t xml:space="preserve"> 동작구 신대방1길 11</t>
  </si>
  <si>
    <t>서울문창초</t>
  </si>
  <si>
    <t>신대방 우성1차</t>
    <phoneticPr fontId="2" type="noConversion"/>
  </si>
  <si>
    <t xml:space="preserve"> 동작구 신대방1길 61</t>
  </si>
  <si>
    <t xml:space="preserve"> 동작구 성대로37길 43</t>
  </si>
  <si>
    <t xml:space="preserve"> 동작구 상도로 247</t>
  </si>
  <si>
    <t>서울장승중 학군(상도초)</t>
  </si>
  <si>
    <t xml:space="preserve"> 동작구 양녕로 225</t>
  </si>
  <si>
    <t>서울강남초</t>
  </si>
  <si>
    <t xml:space="preserve"> 동작구 상도로 258</t>
  </si>
  <si>
    <t>서울신상도초</t>
  </si>
  <si>
    <t xml:space="preserve"> 동작구 상도로 211</t>
  </si>
  <si>
    <t xml:space="preserve"> 동작구 상도로 341-3</t>
  </si>
  <si>
    <t>상도더샵1차</t>
    <phoneticPr fontId="2" type="noConversion"/>
  </si>
  <si>
    <t xml:space="preserve"> 동작구 사당로2길 29</t>
  </si>
  <si>
    <t>서울상현초</t>
  </si>
  <si>
    <t xml:space="preserve"> 동작구 사당로2길 45</t>
  </si>
  <si>
    <t>사당롯데캐슬골든포레</t>
    <phoneticPr fontId="2" type="noConversion"/>
  </si>
  <si>
    <t xml:space="preserve"> 동작구 동작대로29길 91</t>
  </si>
  <si>
    <t>서울삼일초</t>
  </si>
  <si>
    <t xml:space="preserve"> 동작구 사당로 113</t>
  </si>
  <si>
    <t>서울남성초</t>
  </si>
  <si>
    <t>서울영본초</t>
  </si>
  <si>
    <t xml:space="preserve"> 동작구 노량진로26길 11</t>
  </si>
  <si>
    <t xml:space="preserve"> 동작구 노량진로 242</t>
  </si>
  <si>
    <t xml:space="preserve"> 동작구 성대로21길 47</t>
  </si>
  <si>
    <t xml:space="preserve"> 동작구 여의대방로 210</t>
  </si>
  <si>
    <t>서울영화초</t>
  </si>
  <si>
    <t xml:space="preserve"> 동작구 여의대방로 186</t>
  </si>
  <si>
    <t xml:space="preserve"> 동작구 노량진로26길 16</t>
  </si>
  <si>
    <t xml:space="preserve"> 동작구 상도로 202</t>
  </si>
  <si>
    <t>e편한세상상도노빌리티</t>
    <phoneticPr fontId="2" type="noConversion"/>
  </si>
  <si>
    <t>마포</t>
    <phoneticPr fontId="2" type="noConversion"/>
  </si>
  <si>
    <t>서울신석초</t>
  </si>
  <si>
    <t>서울서강초</t>
  </si>
  <si>
    <t>마포3</t>
    <phoneticPr fontId="2" type="noConversion"/>
  </si>
  <si>
    <t xml:space="preserve"> 마포구 독막로20길 40</t>
  </si>
  <si>
    <t>창전삼성래미안</t>
    <phoneticPr fontId="2" type="noConversion"/>
  </si>
  <si>
    <t xml:space="preserve"> 마포구 가양대로 15</t>
  </si>
  <si>
    <t>서울덕은초</t>
  </si>
  <si>
    <t>서울염리초</t>
  </si>
  <si>
    <t>서울한서초</t>
  </si>
  <si>
    <t xml:space="preserve"> 마포구 서강로 69</t>
  </si>
  <si>
    <t>서울신수초</t>
  </si>
  <si>
    <t>서울공덕초</t>
  </si>
  <si>
    <t xml:space="preserve"> 마포구 백범로 205</t>
  </si>
  <si>
    <t xml:space="preserve"> 마포구 신공덕동길 15</t>
  </si>
  <si>
    <t xml:space="preserve"> 마포구 마포대로 195</t>
  </si>
  <si>
    <t>서울아현초</t>
  </si>
  <si>
    <t xml:space="preserve"> 마포구 월드컵북로 381</t>
  </si>
  <si>
    <t>서울상암초</t>
  </si>
  <si>
    <t xml:space="preserve"> 마포구 토정로 11</t>
  </si>
  <si>
    <t>서울망원초</t>
  </si>
  <si>
    <t xml:space="preserve"> 마포구 대흥로24길 24</t>
  </si>
  <si>
    <t xml:space="preserve"> 마포구 마포대로14길 16 (공덕동)</t>
  </si>
  <si>
    <t>서울도화초</t>
  </si>
  <si>
    <t xml:space="preserve"> 마포구 도화길 32</t>
  </si>
  <si>
    <t xml:space="preserve"> 마포구 토정로 125</t>
  </si>
  <si>
    <t xml:space="preserve"> 마포구 독막로28길 10</t>
  </si>
  <si>
    <t xml:space="preserve"> 마포구 토정로31길 24</t>
  </si>
  <si>
    <t>래미안마포리버웰</t>
    <phoneticPr fontId="2" type="noConversion"/>
  </si>
  <si>
    <t xml:space="preserve"> 마포구 도화길 42</t>
  </si>
  <si>
    <t xml:space="preserve"> 마포구 독막로 190</t>
  </si>
  <si>
    <t xml:space="preserve"> 마포구 마포대로 181</t>
  </si>
  <si>
    <t xml:space="preserve"> 마포구 마포대로14길 31</t>
  </si>
  <si>
    <t>서대문</t>
    <phoneticPr fontId="2" type="noConversion"/>
  </si>
  <si>
    <t>서울북성초</t>
  </si>
  <si>
    <t>서대문3</t>
    <phoneticPr fontId="2" type="noConversion"/>
  </si>
  <si>
    <t>서울고은초</t>
  </si>
  <si>
    <t>서울안산초</t>
  </si>
  <si>
    <t>서울인왕초</t>
  </si>
  <si>
    <t xml:space="preserve"> 서대문구 통일로 345-1</t>
  </si>
  <si>
    <t>홍제센트럴아이파크</t>
    <phoneticPr fontId="2" type="noConversion"/>
  </si>
  <si>
    <t xml:space="preserve"> 서대문구 통일로 315</t>
  </si>
  <si>
    <t>서울홍제초</t>
  </si>
  <si>
    <t xml:space="preserve"> 서대문구 세검정로 10</t>
  </si>
  <si>
    <t>서울홍은초</t>
  </si>
  <si>
    <t>서울미동초</t>
  </si>
  <si>
    <t xml:space="preserve"> 서대문구 신촌로 257</t>
  </si>
  <si>
    <t xml:space="preserve"> 서대문구 통일로 231</t>
  </si>
  <si>
    <t xml:space="preserve"> 서대문구 독립문로 15</t>
  </si>
  <si>
    <t xml:space="preserve"> 서대문구 홍은중앙로 72</t>
  </si>
  <si>
    <t>북한산두산위브</t>
    <phoneticPr fontId="2" type="noConversion"/>
  </si>
  <si>
    <t xml:space="preserve"> 서대문구 북아현로 67</t>
  </si>
  <si>
    <t>서울연가초</t>
  </si>
  <si>
    <t>서울독립문초</t>
  </si>
  <si>
    <t xml:space="preserve"> 서대문구 거북골로 84</t>
  </si>
  <si>
    <t xml:space="preserve"> 서대문구 가재울미래로 2</t>
  </si>
  <si>
    <t xml:space="preserve"> 서대문구 통일로 164</t>
  </si>
  <si>
    <t xml:space="preserve"> 서대문구 통일로 126</t>
  </si>
  <si>
    <t>서울가재울초</t>
  </si>
  <si>
    <t>서울북가좌초</t>
  </si>
  <si>
    <t>dmc파크뷰자이</t>
    <phoneticPr fontId="2" type="noConversion"/>
  </si>
  <si>
    <t xml:space="preserve"> 서대문구 거북골로 200</t>
  </si>
  <si>
    <t>dmc래미안클라시스</t>
    <phoneticPr fontId="2" type="noConversion"/>
  </si>
  <si>
    <t>서초</t>
    <phoneticPr fontId="2" type="noConversion"/>
  </si>
  <si>
    <t>서울신동초</t>
  </si>
  <si>
    <t xml:space="preserve"> 서초구 잠원로 151</t>
  </si>
  <si>
    <t>서울반원초</t>
  </si>
  <si>
    <t>서울서초초</t>
  </si>
  <si>
    <t>서울우면초</t>
  </si>
  <si>
    <t xml:space="preserve"> 서초구 신반포로15길 19</t>
  </si>
  <si>
    <t>서울잠원초</t>
  </si>
  <si>
    <t xml:space="preserve"> 서초구 잠원로 117</t>
  </si>
  <si>
    <t xml:space="preserve"> 서초구 잠원로 37</t>
  </si>
  <si>
    <t>서울서이초</t>
  </si>
  <si>
    <t xml:space="preserve"> 서초구 사임당로 157</t>
  </si>
  <si>
    <t>서울언남초</t>
  </si>
  <si>
    <t xml:space="preserve"> 서초구 꽃마을로 21</t>
  </si>
  <si>
    <t xml:space="preserve"> 서초구 서초대로 314</t>
  </si>
  <si>
    <t xml:space="preserve"> 서초구 바우뫼로7길 26</t>
  </si>
  <si>
    <t xml:space="preserve"> 서초구 효령로 391</t>
  </si>
  <si>
    <t xml:space="preserve"> 서초구 서초중앙로20길 42</t>
  </si>
  <si>
    <t xml:space="preserve"> 서초구 방배로 222</t>
  </si>
  <si>
    <t>서울방배초</t>
  </si>
  <si>
    <t>방배현대홈타운2차</t>
    <phoneticPr fontId="2" type="noConversion"/>
  </si>
  <si>
    <t>서울방일초</t>
  </si>
  <si>
    <t xml:space="preserve"> 서초구 서초대로 141</t>
  </si>
  <si>
    <t xml:space="preserve"> 서초구 방배천로 91</t>
  </si>
  <si>
    <t>서울방현초</t>
  </si>
  <si>
    <t xml:space="preserve"> 서초구 효령로 110</t>
  </si>
  <si>
    <t>서울원촌초</t>
  </si>
  <si>
    <t xml:space="preserve"> 서초구 신반포로 270</t>
  </si>
  <si>
    <t>서울서원초</t>
  </si>
  <si>
    <t xml:space="preserve"> 서초구 고무래로 6-6</t>
  </si>
  <si>
    <t xml:space="preserve"> 서초구 고무래로 35</t>
  </si>
  <si>
    <t xml:space="preserve"> 서초구 반포대로 275</t>
  </si>
  <si>
    <t xml:space="preserve"> 서초구 잠원로 37-30</t>
  </si>
  <si>
    <t xml:space="preserve"> 서초구 올림픽대로 435</t>
  </si>
  <si>
    <t xml:space="preserve"> 서초구 잠원로 88</t>
  </si>
  <si>
    <t>성동</t>
    <phoneticPr fontId="2" type="noConversion"/>
  </si>
  <si>
    <t xml:space="preserve"> 성동구 독서당로 170</t>
  </si>
  <si>
    <t>서울옥수초</t>
  </si>
  <si>
    <t xml:space="preserve"> 성동구 행당로 82</t>
  </si>
  <si>
    <t>서울행당초</t>
  </si>
  <si>
    <t>행당한진타운</t>
    <phoneticPr fontId="2" type="noConversion"/>
  </si>
  <si>
    <t>서울숭신초</t>
  </si>
  <si>
    <t xml:space="preserve"> 성동구 마장로35길 30</t>
  </si>
  <si>
    <t>서울마장초</t>
  </si>
  <si>
    <t xml:space="preserve"> 성동구 독서당로 365</t>
  </si>
  <si>
    <t>서울응봉초</t>
  </si>
  <si>
    <t>서울무학초</t>
  </si>
  <si>
    <t xml:space="preserve"> 성동구 난계로 20</t>
  </si>
  <si>
    <t>서울옥정초</t>
  </si>
  <si>
    <t xml:space="preserve"> 성동구 독서당로 221</t>
  </si>
  <si>
    <t xml:space="preserve"> 성동구 금호로 142</t>
  </si>
  <si>
    <t>서울금북초</t>
  </si>
  <si>
    <t xml:space="preserve"> 성동구 왕십리로 410</t>
  </si>
  <si>
    <t xml:space="preserve"> 성동구 뚝섬로 414</t>
  </si>
  <si>
    <t xml:space="preserve"> 성동구 뚝섬로 420</t>
  </si>
  <si>
    <t xml:space="preserve"> 성동구 성수이로 118</t>
  </si>
  <si>
    <t xml:space="preserve"> 성동구 고산자로 102</t>
  </si>
  <si>
    <t xml:space="preserve"> 성동구 금호로 86</t>
  </si>
  <si>
    <t>서울금양초</t>
  </si>
  <si>
    <t xml:space="preserve"> 성동구 매봉길 15</t>
  </si>
  <si>
    <t xml:space="preserve"> 성동구 행당동 128-1 일대</t>
  </si>
  <si>
    <t xml:space="preserve"> 성동구 응봉로 15</t>
  </si>
  <si>
    <t>서울금옥초</t>
  </si>
  <si>
    <t xml:space="preserve"> 성동구 무학봉길 93</t>
  </si>
  <si>
    <t xml:space="preserve"> 성동구 매봉길 50</t>
  </si>
  <si>
    <t xml:space="preserve"> 성동구 강변북로 440</t>
  </si>
  <si>
    <t>강변건영</t>
    <phoneticPr fontId="2" type="noConversion"/>
  </si>
  <si>
    <t>서울동호초</t>
  </si>
  <si>
    <t>e편한세상옥수파크힐스</t>
    <phoneticPr fontId="2" type="noConversion"/>
  </si>
  <si>
    <t>성북</t>
    <phoneticPr fontId="2" type="noConversion"/>
  </si>
  <si>
    <t xml:space="preserve"> 성북구 동소문로13길 72</t>
  </si>
  <si>
    <t>서울돈암초</t>
  </si>
  <si>
    <t>서울개운초</t>
  </si>
  <si>
    <t xml:space="preserve"> 성북구 보국문로16길 10</t>
  </si>
  <si>
    <t>서울정수초</t>
  </si>
  <si>
    <t xml:space="preserve"> 성북구 보국문로16길 65</t>
  </si>
  <si>
    <t xml:space="preserve"> 성북구 솔샘로 31</t>
  </si>
  <si>
    <t>서울숭덕초</t>
  </si>
  <si>
    <t>정릉e편한세상2차</t>
    <phoneticPr fontId="2" type="noConversion"/>
  </si>
  <si>
    <t xml:space="preserve"> 성북구 장위동 62-1 일대</t>
  </si>
  <si>
    <t>서울장위초</t>
  </si>
  <si>
    <t xml:space="preserve"> 성북구 오패산로 46</t>
  </si>
  <si>
    <t>서울월곡초</t>
  </si>
  <si>
    <t>서울숭인초</t>
  </si>
  <si>
    <t>서울석관초</t>
  </si>
  <si>
    <t xml:space="preserve"> 성북구 보문로13길 61</t>
  </si>
  <si>
    <t>서울동신초</t>
  </si>
  <si>
    <t xml:space="preserve"> 성북구 숭인로8길 80</t>
  </si>
  <si>
    <t>서울미아초</t>
  </si>
  <si>
    <t xml:space="preserve"> 성북구 월곡로14길 26</t>
  </si>
  <si>
    <t xml:space="preserve"> 성북구 화랑로11길 26</t>
  </si>
  <si>
    <t xml:space="preserve"> 성북구 숭인로 50</t>
  </si>
  <si>
    <t xml:space="preserve"> 성북구 월곡로14길 17</t>
  </si>
  <si>
    <t xml:space="preserve"> 성북구 래미안로 33</t>
  </si>
  <si>
    <t xml:space="preserve"> 성북구 아리랑로 5</t>
  </si>
  <si>
    <t>서울우촌초(사립) / 정덕초</t>
  </si>
  <si>
    <t xml:space="preserve"> 성북구 돌곶이로 220</t>
  </si>
  <si>
    <t>서울장곡초</t>
  </si>
  <si>
    <t xml:space="preserve"> 성북구 매봉산로 2</t>
  </si>
  <si>
    <t>서울길음초</t>
  </si>
  <si>
    <t xml:space="preserve"> 성북구 숭인로 30</t>
  </si>
  <si>
    <t xml:space="preserve"> 성북구 길음로 118</t>
  </si>
  <si>
    <t xml:space="preserve"> 성북구 길음로 42</t>
  </si>
  <si>
    <t>송파</t>
    <phoneticPr fontId="2" type="noConversion"/>
  </si>
  <si>
    <t>서울문정초</t>
  </si>
  <si>
    <t xml:space="preserve"> 송파구 송파대로 345</t>
  </si>
  <si>
    <t>서울해누리/가락초</t>
  </si>
  <si>
    <t>서울풍납초</t>
  </si>
  <si>
    <t>송파4</t>
    <phoneticPr fontId="2" type="noConversion"/>
  </si>
  <si>
    <t xml:space="preserve"> 송파구 토성로 38-11</t>
  </si>
  <si>
    <t>서울토성초</t>
  </si>
  <si>
    <t xml:space="preserve"> 송파구 올림픽로 35길 94</t>
  </si>
  <si>
    <t>서울잠동초</t>
  </si>
  <si>
    <t xml:space="preserve"> 송파구 송파대로 567</t>
  </si>
  <si>
    <t>서울신천초</t>
  </si>
  <si>
    <t xml:space="preserve"> 송파구 올림픽로43길 9</t>
  </si>
  <si>
    <t xml:space="preserve"> 송파구 백제고분로18길 7</t>
  </si>
  <si>
    <t>서울잠전초</t>
  </si>
  <si>
    <t>서울송파초</t>
  </si>
  <si>
    <t xml:space="preserve"> 송파구 올림픽로 99</t>
  </si>
  <si>
    <t>서울잠일초</t>
  </si>
  <si>
    <t xml:space="preserve"> 송파구 올림픽로 135</t>
  </si>
  <si>
    <t>서울잠신초</t>
  </si>
  <si>
    <t xml:space="preserve"> 송파구 양재대로 1218</t>
  </si>
  <si>
    <t>서울세륜/오륜초</t>
  </si>
  <si>
    <t>서울오금초</t>
  </si>
  <si>
    <t xml:space="preserve"> 송파구 마천로 115</t>
  </si>
  <si>
    <t>오금 현대백조</t>
    <phoneticPr fontId="2" type="noConversion"/>
  </si>
  <si>
    <t xml:space="preserve"> 송파구 올림픽로 435</t>
  </si>
  <si>
    <t>서울잠현/잠실초</t>
  </si>
  <si>
    <t>신천 파크리오</t>
    <phoneticPr fontId="2" type="noConversion"/>
  </si>
  <si>
    <t xml:space="preserve"> 송파구 송파대로 111</t>
  </si>
  <si>
    <t>서울문현초</t>
  </si>
  <si>
    <t xml:space="preserve"> 송파구 충민로 151</t>
  </si>
  <si>
    <t xml:space="preserve"> 송파구 위례광장로 121</t>
  </si>
  <si>
    <t>서울송례초</t>
  </si>
  <si>
    <t xml:space="preserve"> 송파구 거마로 75</t>
  </si>
  <si>
    <t>서울마천초</t>
  </si>
  <si>
    <t xml:space="preserve"> 송파구 가락로 181</t>
  </si>
  <si>
    <t xml:space="preserve"> 송파구 양재대로 1150</t>
  </si>
  <si>
    <t xml:space="preserve"> 송파구 송이로 201</t>
  </si>
  <si>
    <t xml:space="preserve"> 송파구 오금로 202</t>
  </si>
  <si>
    <t>서울영풍초</t>
  </si>
  <si>
    <t xml:space="preserve"> 송파구 양재대로127길 34</t>
  </si>
  <si>
    <t>서울가동초</t>
  </si>
  <si>
    <t xml:space="preserve"> 송파구 가락로 210</t>
  </si>
  <si>
    <t>서울가주초</t>
  </si>
  <si>
    <t xml:space="preserve"> 송파구 동남로 193</t>
  </si>
  <si>
    <t>양천</t>
    <phoneticPr fontId="2" type="noConversion"/>
  </si>
  <si>
    <t>서울남명초</t>
  </si>
  <si>
    <t xml:space="preserve"> 양천구 목동서로 340</t>
  </si>
  <si>
    <t>서울목동초</t>
  </si>
  <si>
    <t xml:space="preserve"> 양천구 신정로11길 56</t>
  </si>
  <si>
    <t>서울신은초</t>
  </si>
  <si>
    <t>서울신기초</t>
  </si>
  <si>
    <t xml:space="preserve"> 양천구 신정로13길 7</t>
  </si>
  <si>
    <t>신트리1</t>
    <phoneticPr fontId="2" type="noConversion"/>
  </si>
  <si>
    <t xml:space="preserve"> 양천구 신목로 2</t>
  </si>
  <si>
    <t>신정현대5차</t>
    <phoneticPr fontId="2" type="noConversion"/>
  </si>
  <si>
    <t xml:space="preserve"> 양천구 중앙로32길 22</t>
  </si>
  <si>
    <t>서울갈산초</t>
  </si>
  <si>
    <t xml:space="preserve"> 양천구 신목로 5</t>
  </si>
  <si>
    <t>신정아이파크</t>
    <phoneticPr fontId="2" type="noConversion"/>
  </si>
  <si>
    <t xml:space="preserve"> 양천구 중앙로29길 26</t>
  </si>
  <si>
    <t>서울은정초</t>
  </si>
  <si>
    <t xml:space="preserve"> 양천구 목동동로 10</t>
  </si>
  <si>
    <t xml:space="preserve"> 양천구 신정로11길 40</t>
  </si>
  <si>
    <t>서울양명초</t>
  </si>
  <si>
    <t xml:space="preserve"> 양천구 목동중앙본로 86</t>
  </si>
  <si>
    <t>서울정목초</t>
  </si>
  <si>
    <t xml:space="preserve"> 양천구 신정로 167</t>
  </si>
  <si>
    <t xml:space="preserve"> 양천구 신월로 190</t>
  </si>
  <si>
    <t xml:space="preserve"> 양천구 국회대로 184</t>
  </si>
  <si>
    <t>서울신강초</t>
  </si>
  <si>
    <t xml:space="preserve"> 양천구 등촌로 100</t>
  </si>
  <si>
    <t>서울영도초</t>
  </si>
  <si>
    <t xml:space="preserve"> 양천구 목동중앙로 107</t>
  </si>
  <si>
    <t xml:space="preserve"> 양천구 중앙로27길 22</t>
  </si>
  <si>
    <t>영등포</t>
    <phoneticPr fontId="2" type="noConversion"/>
  </si>
  <si>
    <t xml:space="preserve"> 영등포구 신길로 29</t>
  </si>
  <si>
    <t xml:space="preserve"> 영등포구 경인로 843</t>
  </si>
  <si>
    <t>서울영원초</t>
  </si>
  <si>
    <t xml:space="preserve"> 영등포구 영등포로 143</t>
  </si>
  <si>
    <t>서울영중초</t>
  </si>
  <si>
    <t xml:space="preserve"> 영등포구 국회대로54길 10</t>
  </si>
  <si>
    <t>서울당중초</t>
  </si>
  <si>
    <t xml:space="preserve"> 영등포구 영등포로 146</t>
  </si>
  <si>
    <t>서울당서초</t>
  </si>
  <si>
    <t xml:space="preserve"> 영등포구 국회대로52길 11</t>
  </si>
  <si>
    <t>아크로타워스퀘어</t>
    <phoneticPr fontId="2" type="noConversion"/>
  </si>
  <si>
    <t>서울대영초</t>
  </si>
  <si>
    <t xml:space="preserve"> 영등포구 신길로 136</t>
  </si>
  <si>
    <t xml:space="preserve"> 영등포구 가마산로 391</t>
  </si>
  <si>
    <t>신길센트럴아이파크</t>
    <phoneticPr fontId="2" type="noConversion"/>
  </si>
  <si>
    <t xml:space="preserve"> 영등포구 여의대방로 161</t>
  </si>
  <si>
    <t xml:space="preserve"> 영등포구 대방천로 169</t>
  </si>
  <si>
    <t>서울문래초</t>
  </si>
  <si>
    <t>서울영문초</t>
  </si>
  <si>
    <t xml:space="preserve"> 영등포구 당산로 4</t>
  </si>
  <si>
    <t>문래자이</t>
    <phoneticPr fontId="2" type="noConversion"/>
  </si>
  <si>
    <t xml:space="preserve"> 영등포구 당산로 161</t>
  </si>
  <si>
    <t xml:space="preserve"> 영등포구 가마산로 465</t>
  </si>
  <si>
    <t>서울영신초</t>
  </si>
  <si>
    <t xml:space="preserve"> 영등포구 당산로 205</t>
  </si>
  <si>
    <t xml:space="preserve"> 영등포구 당산로 214</t>
  </si>
  <si>
    <t xml:space="preserve"> 영등포구 당산로42길 25</t>
  </si>
  <si>
    <t xml:space="preserve"> 영등포구 선유로 50</t>
  </si>
  <si>
    <t>용산3</t>
    <phoneticPr fontId="2" type="noConversion"/>
  </si>
  <si>
    <t>용산</t>
    <phoneticPr fontId="2" type="noConversion"/>
  </si>
  <si>
    <t>용산4</t>
    <phoneticPr fontId="2" type="noConversion"/>
  </si>
  <si>
    <t xml:space="preserve"> 용산구 이촌로 87길 15</t>
  </si>
  <si>
    <t>서울신용산초</t>
  </si>
  <si>
    <t xml:space="preserve"> 용산구 이촌로 81길 8</t>
  </si>
  <si>
    <t xml:space="preserve"> 용산구 백범로 337</t>
  </si>
  <si>
    <t>서울원효초</t>
  </si>
  <si>
    <t xml:space="preserve"> 용산구 백범로 90길 12</t>
  </si>
  <si>
    <t>서울청파초</t>
  </si>
  <si>
    <t>용산e편한세상</t>
    <phoneticPr fontId="2" type="noConversion"/>
  </si>
  <si>
    <t xml:space="preserve"> 용산구 원효로 210</t>
  </si>
  <si>
    <t xml:space="preserve"> 용산구 새창로 7</t>
  </si>
  <si>
    <t xml:space="preserve"> 용산구 원효로 151</t>
  </si>
  <si>
    <t>은평</t>
    <phoneticPr fontId="2" type="noConversion"/>
  </si>
  <si>
    <t xml:space="preserve"> 은평구 통일로 1050</t>
  </si>
  <si>
    <t>신도초등학교</t>
  </si>
  <si>
    <t xml:space="preserve"> 은평구 통일로 1045</t>
  </si>
  <si>
    <t>진관 은평뉴타운박석고개힐스테이트1</t>
    <phoneticPr fontId="2" type="noConversion"/>
  </si>
  <si>
    <t xml:space="preserve"> 은평구 진관3로 70</t>
  </si>
  <si>
    <t>증산초등학교</t>
  </si>
  <si>
    <t xml:space="preserve"> 은평구 증산서길 80</t>
  </si>
  <si>
    <t>응암초등학교</t>
  </si>
  <si>
    <t xml:space="preserve"> 은평구 은평로 220</t>
  </si>
  <si>
    <t>은평초등학교</t>
  </si>
  <si>
    <t>은명초등학교</t>
  </si>
  <si>
    <t xml:space="preserve"> 은평구 백련산로 35</t>
  </si>
  <si>
    <t xml:space="preserve"> 은평구 응암로 333</t>
  </si>
  <si>
    <t xml:space="preserve"> 은평구 응암로 301</t>
  </si>
  <si>
    <t xml:space="preserve"> 은평구 은평로 250</t>
  </si>
  <si>
    <t>은평4</t>
    <phoneticPr fontId="2" type="noConversion"/>
  </si>
  <si>
    <t xml:space="preserve"> 은평구 은평로 55</t>
  </si>
  <si>
    <t>수색초등학교</t>
  </si>
  <si>
    <t xml:space="preserve"> 은평구 수색로18길 19</t>
  </si>
  <si>
    <t xml:space="preserve"> 은평구 수색로 217</t>
  </si>
  <si>
    <t xml:space="preserve"> 은평구 수색로 260</t>
  </si>
  <si>
    <t xml:space="preserve"> 은평구 통일로 796</t>
  </si>
  <si>
    <t>연천초등학교</t>
  </si>
  <si>
    <t xml:space="preserve"> 은평구 불광로 122</t>
  </si>
  <si>
    <t>불광초등학교</t>
  </si>
  <si>
    <t xml:space="preserve"> 은평구 통일로 760</t>
  </si>
  <si>
    <t xml:space="preserve"> 은평구 불광로 14</t>
  </si>
  <si>
    <t>불광 롯데캐슬</t>
    <phoneticPr fontId="2" type="noConversion"/>
  </si>
  <si>
    <t xml:space="preserve"> 은평구 통일로 610</t>
  </si>
  <si>
    <t>어울초등학교</t>
  </si>
  <si>
    <t>종로4</t>
    <phoneticPr fontId="2" type="noConversion"/>
  </si>
  <si>
    <t>종로</t>
    <phoneticPr fontId="2" type="noConversion"/>
  </si>
  <si>
    <t>창신초등학교</t>
  </si>
  <si>
    <t xml:space="preserve"> 종로구 창신6길 21</t>
  </si>
  <si>
    <t xml:space="preserve"> 종로구 숭인동 766</t>
  </si>
  <si>
    <t>숭신초등학교</t>
  </si>
  <si>
    <t xml:space="preserve"> 종로구 숭인동 1445</t>
  </si>
  <si>
    <t>명신초등학교</t>
  </si>
  <si>
    <t xml:space="preserve"> 종로구 통일로18길 9</t>
  </si>
  <si>
    <t>독립문초등학교</t>
  </si>
  <si>
    <t xml:space="preserve"> 종로구 통일로14길 30</t>
  </si>
  <si>
    <t xml:space="preserve"> 종로구 경교장길 35</t>
  </si>
  <si>
    <t xml:space="preserve"> 종로구 송월길 99</t>
  </si>
  <si>
    <t>중구</t>
    <phoneticPr fontId="2" type="noConversion"/>
  </si>
  <si>
    <t xml:space="preserve"> 중구 다산로 150</t>
  </si>
  <si>
    <t>청구초등학교</t>
  </si>
  <si>
    <t xml:space="preserve"> 중구 중림로 21</t>
  </si>
  <si>
    <t>봉래초등학교</t>
  </si>
  <si>
    <t xml:space="preserve"> 중구 다산로 56</t>
  </si>
  <si>
    <t>신당초등학교</t>
  </si>
  <si>
    <t xml:space="preserve"> 중구 다산로 210</t>
  </si>
  <si>
    <t xml:space="preserve"> 중구 다산로 32</t>
  </si>
  <si>
    <t>동호초등학교</t>
  </si>
  <si>
    <t>중랑</t>
    <phoneticPr fontId="2" type="noConversion"/>
  </si>
  <si>
    <t xml:space="preserve"> 중랑구 중화동 331-1 일대</t>
  </si>
  <si>
    <t>신묵초등학교</t>
  </si>
  <si>
    <t xml:space="preserve"> 중랑구 신내로19길 2</t>
  </si>
  <si>
    <t>신내초등학교</t>
  </si>
  <si>
    <t xml:space="preserve"> 중랑구 신내로 124</t>
  </si>
  <si>
    <t xml:space="preserve"> 중랑구 신내로 115</t>
  </si>
  <si>
    <t>금성/내솔초</t>
  </si>
  <si>
    <t xml:space="preserve"> 중랑구 상봉동 501</t>
  </si>
  <si>
    <t>상봉초등학교</t>
  </si>
  <si>
    <t xml:space="preserve"> 중랑구 동일로 932</t>
  </si>
  <si>
    <t>준신축</t>
    <phoneticPr fontId="2" type="noConversion"/>
  </si>
  <si>
    <t xml:space="preserve"> 중랑구 숙선옹주로 7</t>
  </si>
  <si>
    <t>원묵초등학교</t>
  </si>
  <si>
    <t xml:space="preserve"> 중랑구 면목로45길 52</t>
  </si>
  <si>
    <t>면동초등학교</t>
  </si>
  <si>
    <t xml:space="preserve"> 중랑구 동일로 475</t>
  </si>
  <si>
    <t>면목초등학교</t>
  </si>
  <si>
    <t xml:space="preserve"> 중랑구 동일로 489</t>
  </si>
  <si>
    <t xml:space="preserve"> 중랑구 망우로73길 36</t>
  </si>
  <si>
    <t>망우초등학교</t>
  </si>
  <si>
    <t>망우 중랑숲리가</t>
    <phoneticPr fontId="2" type="noConversion"/>
  </si>
  <si>
    <t xml:space="preserve"> 중랑구 양원역로 100</t>
  </si>
  <si>
    <t>망우 신내금강팬테리움센트럴파크</t>
    <phoneticPr fontId="2" type="noConversion"/>
  </si>
  <si>
    <t xml:space="preserve"> 서울</t>
    <phoneticPr fontId="2" type="noConversion"/>
  </si>
  <si>
    <t>gu</t>
    <phoneticPr fontId="2" type="noConversion"/>
  </si>
  <si>
    <t>dong</t>
    <phoneticPr fontId="2" type="noConversion"/>
  </si>
  <si>
    <t>complex_name</t>
    <phoneticPr fontId="2" type="noConversion"/>
  </si>
  <si>
    <t>year_built</t>
    <phoneticPr fontId="2" type="noConversion"/>
  </si>
  <si>
    <t>complex_size</t>
    <phoneticPr fontId="2" type="noConversion"/>
  </si>
  <si>
    <t>households</t>
    <phoneticPr fontId="2" type="noConversion"/>
  </si>
  <si>
    <t>layout_type</t>
    <phoneticPr fontId="2" type="noConversion"/>
  </si>
  <si>
    <t>rooms</t>
    <phoneticPr fontId="2" type="noConversion"/>
  </si>
  <si>
    <t>bathrooms</t>
    <phoneticPr fontId="2" type="noConversion"/>
  </si>
  <si>
    <t>pyeong</t>
    <phoneticPr fontId="2" type="noConversion"/>
  </si>
  <si>
    <t>price_jeonse</t>
    <phoneticPr fontId="2" type="noConversion"/>
  </si>
  <si>
    <t>school_name</t>
    <phoneticPr fontId="2" type="noConversion"/>
  </si>
  <si>
    <t>school_walk_min</t>
    <phoneticPr fontId="2" type="noConversion"/>
  </si>
  <si>
    <t>time_gangnam</t>
    <phoneticPr fontId="2" type="noConversion"/>
  </si>
  <si>
    <t>time_yeouido</t>
    <phoneticPr fontId="2" type="noConversion"/>
  </si>
  <si>
    <t>time_cityhall</t>
    <phoneticPr fontId="2" type="noConversion"/>
  </si>
  <si>
    <t>jeonse_ratio</t>
    <phoneticPr fontId="2" type="noConversion"/>
  </si>
  <si>
    <t>expert_comment</t>
    <phoneticPr fontId="2" type="noConversion"/>
  </si>
  <si>
    <t>risk_comment</t>
    <phoneticPr fontId="2" type="noConversion"/>
  </si>
  <si>
    <t>5~10</t>
  </si>
  <si>
    <t>3~7</t>
  </si>
  <si>
    <t>building_type</t>
    <phoneticPr fontId="2" type="noConversion"/>
  </si>
  <si>
    <t>price_gap</t>
    <phoneticPr fontId="2" type="noConversion"/>
  </si>
  <si>
    <t>“전고점 대비 조정 폭이 충분한 구간”
“전고점 대비 중간 조정 구간”</t>
    <phoneticPr fontId="2" type="noConversion"/>
  </si>
  <si>
    <t>전고점대비 어쩌구 저쩌구, 매수하세요</t>
    <phoneticPr fontId="2" type="noConversion"/>
  </si>
  <si>
    <t>하락률대신, 코멘트 문장으로 넣기</t>
    <phoneticPr fontId="2" type="noConversion"/>
  </si>
  <si>
    <t>peak_price</t>
    <phoneticPr fontId="2" type="noConversion"/>
  </si>
  <si>
    <t>drop_from_peak_pct</t>
    <phoneticPr fontId="2" type="noConversion"/>
  </si>
  <si>
    <t>current_price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</si>
</sst>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76" formatCode="0.00_ "/>
    <numFmt numFmtId="177" formatCode="0_);[Red]\(0\)"/>
  </numFmts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b/>
      <sz val="1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9" fontId="0" fillId="0" borderId="1" xfId="2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176" fontId="0" fillId="0" borderId="0" xfId="0" applyNumberFormat="1">
      <alignment vertical="center"/>
    </xf>
    <xf numFmtId="176" fontId="5" fillId="0" borderId="1" xfId="2" applyNumberFormat="1" applyFont="1" applyBorder="1" applyAlignment="1">
      <alignment horizontal="center" vertical="center"/>
    </xf>
    <xf numFmtId="176" fontId="0" fillId="0" borderId="1" xfId="2" applyNumberFormat="1" applyFon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177" fontId="0" fillId="0" borderId="0" xfId="0" applyNumberFormat="1">
      <alignment vertical="center"/>
    </xf>
    <xf numFmtId="177" fontId="0" fillId="0" borderId="1" xfId="1" applyNumberFormat="1" applyFont="1" applyBorder="1" applyAlignment="1">
      <alignment horizontal="right" vertical="center"/>
    </xf>
    <xf numFmtId="177" fontId="3" fillId="0" borderId="1" xfId="1" applyNumberFormat="1" applyFont="1" applyBorder="1" applyAlignment="1">
      <alignment horizontal="right" vertical="center"/>
    </xf>
    <xf numFmtId="177" fontId="0" fillId="2" borderId="1" xfId="1" applyNumberFormat="1" applyFont="1" applyFill="1" applyBorder="1" applyAlignment="1">
      <alignment horizontal="right" vertical="center"/>
    </xf>
    <xf numFmtId="0" fontId="5" fillId="0" borderId="1" xfId="1" applyNumberFormat="1" applyFont="1" applyBorder="1" applyAlignment="1">
      <alignment horizontal="center" vertical="center"/>
    </xf>
    <xf numFmtId="177" fontId="0" fillId="0" borderId="1" xfId="0" applyNumberFormat="1" applyFill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0" fillId="0" borderId="1" xfId="0" applyNumberForma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0" fontId="4" fillId="0" borderId="1" xfId="0" applyNumberFormat="1" applyFont="1" applyBorder="1" applyAlignment="1">
      <alignment horizontal="center" vertical="center"/>
    </xf>
  </cellXfs>
  <cellStyles count="3">
    <cellStyle name="백분율" xfId="2" builtinId="5"/>
    <cellStyle name="쉼표 [0]" xfId="1" builtinId="6"/>
    <cellStyle name="표준" xfId="0" builtinId="0"/>
  </cellStyles>
  <dxfs count="63">
    <dxf>
      <font>
        <color rgb="FFFF0000"/>
      </font>
    </dxf>
    <dxf>
      <font>
        <color rgb="FF0000FF"/>
      </font>
    </dxf>
    <dxf>
      <fill>
        <patternFill>
          <bgColor theme="4" tint="0.59996337778862885"/>
        </patternFill>
      </fill>
    </dxf>
    <dxf>
      <font>
        <color rgb="FFFF0000"/>
      </font>
    </dxf>
    <dxf>
      <font>
        <color rgb="FF0000FF"/>
      </font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8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2" tint="-0.24994659260841701"/>
        </patternFill>
      </fill>
    </dxf>
    <dxf>
      <fill>
        <patternFill>
          <bgColor theme="8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2" tint="-0.24994659260841701"/>
        </patternFill>
      </fill>
    </dxf>
    <dxf>
      <fill>
        <patternFill>
          <bgColor theme="8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2" tint="-0.24994659260841701"/>
        </patternFill>
      </fill>
    </dxf>
    <dxf>
      <fill>
        <patternFill>
          <bgColor theme="8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2" tint="-0.24994659260841701"/>
        </patternFill>
      </fill>
    </dxf>
    <dxf>
      <fill>
        <patternFill>
          <bgColor theme="8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2" tint="-0.24994659260841701"/>
        </patternFill>
      </fill>
    </dxf>
    <dxf>
      <fill>
        <patternFill>
          <bgColor theme="8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2" tint="-0.24994659260841701"/>
        </patternFill>
      </fill>
    </dxf>
    <dxf>
      <fill>
        <patternFill>
          <bgColor theme="8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2" tint="-0.24994659260841701"/>
        </patternFill>
      </fill>
    </dxf>
    <dxf>
      <fill>
        <patternFill>
          <bgColor theme="8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2" tint="-0.24994659260841701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AA2332"/>
  <sheetViews>
    <sheetView tabSelected="1" topLeftCell="J1" zoomScale="70" zoomScaleNormal="70" workbookViewId="0">
      <selection activeCell="U21" sqref="U21"/>
    </sheetView>
  </sheetViews>
  <sheetFormatPr defaultRowHeight="17" x14ac:dyDescent="0.45"/>
  <cols>
    <col min="2" max="2" width="5.1640625" bestFit="1" customWidth="1"/>
    <col min="3" max="3" width="11.5" bestFit="1" customWidth="1"/>
    <col min="4" max="4" width="9.5" bestFit="1" customWidth="1"/>
    <col min="5" max="5" width="38.5" bestFit="1" customWidth="1"/>
    <col min="6" max="6" width="23.75" bestFit="1" customWidth="1"/>
    <col min="7" max="7" width="21.4140625" style="13" bestFit="1" customWidth="1"/>
    <col min="8" max="8" width="19.83203125" style="13" bestFit="1" customWidth="1"/>
    <col min="9" max="9" width="18.4140625" style="13" bestFit="1" customWidth="1"/>
    <col min="10" max="10" width="17.58203125" style="13" bestFit="1" customWidth="1"/>
    <col min="11" max="11" width="33.9140625" bestFit="1" customWidth="1"/>
    <col min="12" max="12" width="19.1640625" bestFit="1" customWidth="1"/>
    <col min="13" max="13" width="15.6640625" style="13" bestFit="1" customWidth="1"/>
    <col min="14" max="14" width="18.6640625" bestFit="1" customWidth="1"/>
    <col min="15" max="15" width="17.25" style="13" bestFit="1" customWidth="1"/>
    <col min="16" max="16" width="17.33203125" bestFit="1" customWidth="1"/>
    <col min="17" max="17" width="12.9140625" style="13" bestFit="1" customWidth="1"/>
    <col min="18" max="18" width="16.83203125" style="13" bestFit="1" customWidth="1"/>
    <col min="19" max="19" width="13.75" style="13" bestFit="1" customWidth="1"/>
    <col min="20" max="20" width="16.25" style="13" bestFit="1" customWidth="1"/>
    <col min="21" max="21" width="15.58203125" style="13" bestFit="1" customWidth="1"/>
    <col min="22" max="22" width="12.1640625" style="13" bestFit="1" customWidth="1"/>
    <col min="23" max="23" width="20.83203125" bestFit="1" customWidth="1"/>
    <col min="24" max="24" width="34.58203125" customWidth="1"/>
    <col min="25" max="25" width="13.4140625" bestFit="1" customWidth="1"/>
    <col min="26" max="26" width="17.83203125" style="9" bestFit="1" customWidth="1"/>
    <col min="27" max="27" width="13" style="13" customWidth="1"/>
  </cols>
  <sheetData>
    <row r="5" spans="2:27" x14ac:dyDescent="0.45">
      <c r="B5" s="7"/>
      <c r="C5" s="7" t="s">
        <v>1228</v>
      </c>
      <c r="D5" s="1" t="s">
        <v>1229</v>
      </c>
      <c r="E5" s="1" t="s">
        <v>1230</v>
      </c>
      <c r="F5" s="12" t="s">
        <v>1240</v>
      </c>
      <c r="G5" s="20" t="s">
        <v>1241</v>
      </c>
      <c r="H5" s="20" t="s">
        <v>1242</v>
      </c>
      <c r="I5" s="20" t="s">
        <v>1243</v>
      </c>
      <c r="J5" s="20" t="s">
        <v>1244</v>
      </c>
      <c r="K5" s="23" t="s">
        <v>1231</v>
      </c>
      <c r="L5" s="23" t="s">
        <v>1250</v>
      </c>
      <c r="M5" s="21" t="s">
        <v>1232</v>
      </c>
      <c r="N5" s="21" t="s">
        <v>1233</v>
      </c>
      <c r="O5" s="21" t="s">
        <v>1234</v>
      </c>
      <c r="P5" s="21" t="s">
        <v>1235</v>
      </c>
      <c r="Q5" s="21" t="s">
        <v>1236</v>
      </c>
      <c r="R5" s="21" t="s">
        <v>1237</v>
      </c>
      <c r="S5" s="21" t="s">
        <v>1238</v>
      </c>
      <c r="T5" s="17" t="s">
        <v>1255</v>
      </c>
      <c r="U5" s="17" t="s">
        <v>1257</v>
      </c>
      <c r="V5" s="17" t="s">
        <v>1239</v>
      </c>
      <c r="W5" s="3" t="s">
        <v>1256</v>
      </c>
      <c r="X5" s="7" t="s">
        <v>1246</v>
      </c>
      <c r="Y5" s="7" t="s">
        <v>1247</v>
      </c>
      <c r="Z5" s="10" t="s">
        <v>1245</v>
      </c>
      <c r="AA5" s="17" t="s">
        <v>1251</v>
      </c>
    </row>
    <row r="6" spans="2:27" ht="24" customHeight="1" x14ac:dyDescent="0.45">
      <c r="B6" s="7">
        <v>809</v>
      </c>
      <c r="C6" s="5" t="s">
        <v>114</v>
      </c>
      <c r="D6" s="5" t="s">
        <v>753</v>
      </c>
      <c r="E6" s="1" t="s">
        <v>773</v>
      </c>
      <c r="F6" s="1" t="s">
        <v>774</v>
      </c>
      <c r="G6" s="19">
        <v>3</v>
      </c>
      <c r="H6" s="19">
        <v>65</v>
      </c>
      <c r="I6" s="19">
        <v>75</v>
      </c>
      <c r="J6" s="19">
        <v>58</v>
      </c>
      <c r="K6" s="5" t="s">
        <v>214</v>
      </c>
      <c r="L6" s="2" t="s">
        <v>433</v>
      </c>
      <c r="M6" s="18">
        <v>1986</v>
      </c>
      <c r="N6" s="1" t="s">
        <v>434</v>
      </c>
      <c r="O6" s="18">
        <v>3169</v>
      </c>
      <c r="P6" s="5" t="s">
        <v>5</v>
      </c>
      <c r="Q6" s="18">
        <v>2</v>
      </c>
      <c r="R6" s="18">
        <v>1</v>
      </c>
      <c r="S6" s="18">
        <v>21</v>
      </c>
      <c r="T6" s="14">
        <v>53700</v>
      </c>
      <c r="U6" s="14">
        <v>36000</v>
      </c>
      <c r="V6" s="14">
        <v>23000</v>
      </c>
      <c r="W6" s="4">
        <f t="shared" ref="W6:W69" si="0">(U6-$T6)/$T6</f>
        <v>-0.32960893854748602</v>
      </c>
      <c r="X6" s="8" t="s">
        <v>1252</v>
      </c>
      <c r="Z6" s="11">
        <f t="shared" ref="Z6:Z69" si="1">V6/U6</f>
        <v>0.63888888888888884</v>
      </c>
      <c r="AA6" s="19">
        <f t="shared" ref="AA6:AA69" si="2">U6-V6</f>
        <v>13000</v>
      </c>
    </row>
    <row r="7" spans="2:27" x14ac:dyDescent="0.45">
      <c r="B7" s="7">
        <v>774</v>
      </c>
      <c r="C7" s="5" t="s">
        <v>726</v>
      </c>
      <c r="D7" s="5" t="s">
        <v>711</v>
      </c>
      <c r="E7" s="1" t="s">
        <v>740</v>
      </c>
      <c r="F7" s="1" t="s">
        <v>741</v>
      </c>
      <c r="G7" s="19">
        <v>4</v>
      </c>
      <c r="H7" s="19">
        <v>55</v>
      </c>
      <c r="I7" s="19">
        <v>67</v>
      </c>
      <c r="J7" s="19">
        <v>47</v>
      </c>
      <c r="K7" s="5" t="s">
        <v>244</v>
      </c>
      <c r="L7" s="2" t="s">
        <v>433</v>
      </c>
      <c r="M7" s="18">
        <v>1988</v>
      </c>
      <c r="N7" s="1" t="s">
        <v>434</v>
      </c>
      <c r="O7" s="18">
        <v>1739</v>
      </c>
      <c r="P7" s="5" t="s">
        <v>5</v>
      </c>
      <c r="Q7" s="18">
        <v>2</v>
      </c>
      <c r="R7" s="18">
        <v>1</v>
      </c>
      <c r="S7" s="18">
        <v>18</v>
      </c>
      <c r="T7" s="14">
        <v>62000</v>
      </c>
      <c r="U7" s="14">
        <v>39000</v>
      </c>
      <c r="V7" s="14">
        <v>21000</v>
      </c>
      <c r="W7" s="4">
        <f t="shared" si="0"/>
        <v>-0.37096774193548387</v>
      </c>
      <c r="Z7" s="11">
        <f t="shared" si="1"/>
        <v>0.53846153846153844</v>
      </c>
      <c r="AA7" s="19">
        <f t="shared" si="2"/>
        <v>18000</v>
      </c>
    </row>
    <row r="8" spans="2:27" x14ac:dyDescent="0.45">
      <c r="B8" s="7">
        <v>2311</v>
      </c>
      <c r="C8" s="5" t="s">
        <v>179</v>
      </c>
      <c r="D8" s="5" t="s">
        <v>1204</v>
      </c>
      <c r="E8" s="1" t="s">
        <v>1210</v>
      </c>
      <c r="F8" s="1" t="s">
        <v>1211</v>
      </c>
      <c r="G8" s="19">
        <v>5</v>
      </c>
      <c r="H8" s="19">
        <v>55</v>
      </c>
      <c r="I8" s="19">
        <v>65</v>
      </c>
      <c r="J8" s="19">
        <v>50</v>
      </c>
      <c r="K8" s="5" t="s">
        <v>292</v>
      </c>
      <c r="L8" s="2" t="s">
        <v>433</v>
      </c>
      <c r="M8" s="18">
        <v>1996</v>
      </c>
      <c r="N8" s="1" t="s">
        <v>434</v>
      </c>
      <c r="O8" s="18">
        <v>1609</v>
      </c>
      <c r="P8" s="5" t="s">
        <v>5</v>
      </c>
      <c r="Q8" s="18">
        <v>2</v>
      </c>
      <c r="R8" s="18">
        <v>1</v>
      </c>
      <c r="S8" s="18">
        <v>16</v>
      </c>
      <c r="T8" s="14">
        <v>57900</v>
      </c>
      <c r="U8" s="14">
        <v>39800</v>
      </c>
      <c r="V8" s="14">
        <v>23000</v>
      </c>
      <c r="W8" s="4">
        <f t="shared" si="0"/>
        <v>-0.31260794473229708</v>
      </c>
      <c r="X8" t="s">
        <v>1253</v>
      </c>
      <c r="Z8" s="11">
        <f t="shared" si="1"/>
        <v>0.57788944723618085</v>
      </c>
      <c r="AA8" s="19">
        <f t="shared" si="2"/>
        <v>16800</v>
      </c>
    </row>
    <row r="9" spans="2:27" x14ac:dyDescent="0.45">
      <c r="B9" s="7">
        <v>733</v>
      </c>
      <c r="C9" s="5" t="s">
        <v>708</v>
      </c>
      <c r="D9" s="5" t="s">
        <v>698</v>
      </c>
      <c r="E9" s="1" t="s">
        <v>709</v>
      </c>
      <c r="F9" s="1" t="s">
        <v>710</v>
      </c>
      <c r="G9" s="19">
        <v>5</v>
      </c>
      <c r="H9" s="19">
        <v>46</v>
      </c>
      <c r="I9" s="19">
        <v>30</v>
      </c>
      <c r="J9" s="19">
        <v>42</v>
      </c>
      <c r="K9" s="5" t="s">
        <v>121</v>
      </c>
      <c r="L9" s="2" t="s">
        <v>433</v>
      </c>
      <c r="M9" s="18">
        <v>1990</v>
      </c>
      <c r="N9" s="1" t="s">
        <v>447</v>
      </c>
      <c r="O9" s="18">
        <v>840</v>
      </c>
      <c r="P9" s="5" t="s">
        <v>18</v>
      </c>
      <c r="Q9" s="18">
        <v>3</v>
      </c>
      <c r="R9" s="18">
        <v>1</v>
      </c>
      <c r="S9" s="18">
        <v>24</v>
      </c>
      <c r="T9" s="14">
        <v>59700</v>
      </c>
      <c r="U9" s="14">
        <v>40000</v>
      </c>
      <c r="V9" s="14">
        <v>23000</v>
      </c>
      <c r="W9" s="4">
        <f t="shared" si="0"/>
        <v>-0.32998324958123953</v>
      </c>
      <c r="Z9" s="11">
        <f t="shared" si="1"/>
        <v>0.57499999999999996</v>
      </c>
      <c r="AA9" s="19">
        <f t="shared" si="2"/>
        <v>17000</v>
      </c>
    </row>
    <row r="10" spans="2:27" x14ac:dyDescent="0.45">
      <c r="B10" s="7">
        <v>802</v>
      </c>
      <c r="C10" s="5" t="s">
        <v>310</v>
      </c>
      <c r="D10" s="5" t="s">
        <v>753</v>
      </c>
      <c r="E10" s="1" t="s">
        <v>768</v>
      </c>
      <c r="F10" s="1" t="s">
        <v>769</v>
      </c>
      <c r="G10" s="19">
        <v>4</v>
      </c>
      <c r="H10" s="19">
        <v>58</v>
      </c>
      <c r="I10" s="19">
        <v>70</v>
      </c>
      <c r="J10" s="19">
        <v>52</v>
      </c>
      <c r="K10" s="5" t="s">
        <v>313</v>
      </c>
      <c r="L10" s="2" t="s">
        <v>433</v>
      </c>
      <c r="M10" s="18">
        <v>1990</v>
      </c>
      <c r="N10" s="1" t="s">
        <v>447</v>
      </c>
      <c r="O10" s="18">
        <v>783</v>
      </c>
      <c r="P10" s="5" t="s">
        <v>5</v>
      </c>
      <c r="Q10" s="18">
        <v>3</v>
      </c>
      <c r="R10" s="18">
        <v>1</v>
      </c>
      <c r="S10" s="18">
        <v>21</v>
      </c>
      <c r="T10" s="14">
        <v>55000</v>
      </c>
      <c r="U10" s="14">
        <v>40000</v>
      </c>
      <c r="V10" s="14">
        <v>28000</v>
      </c>
      <c r="W10" s="4">
        <f t="shared" si="0"/>
        <v>-0.27272727272727271</v>
      </c>
      <c r="X10" t="s">
        <v>1254</v>
      </c>
      <c r="Z10" s="11">
        <f t="shared" si="1"/>
        <v>0.7</v>
      </c>
      <c r="AA10" s="19">
        <f t="shared" si="2"/>
        <v>12000</v>
      </c>
    </row>
    <row r="11" spans="2:27" x14ac:dyDescent="0.45">
      <c r="B11" s="7">
        <v>810</v>
      </c>
      <c r="C11" s="5" t="s">
        <v>114</v>
      </c>
      <c r="D11" s="5" t="s">
        <v>753</v>
      </c>
      <c r="E11" s="1" t="s">
        <v>773</v>
      </c>
      <c r="F11" s="1" t="s">
        <v>774</v>
      </c>
      <c r="G11" s="19">
        <v>3</v>
      </c>
      <c r="H11" s="19">
        <v>65</v>
      </c>
      <c r="I11" s="19">
        <v>75</v>
      </c>
      <c r="J11" s="19">
        <v>58</v>
      </c>
      <c r="K11" s="5" t="s">
        <v>214</v>
      </c>
      <c r="L11" s="2" t="s">
        <v>433</v>
      </c>
      <c r="M11" s="18">
        <v>1986</v>
      </c>
      <c r="N11" s="1" t="s">
        <v>434</v>
      </c>
      <c r="O11" s="18">
        <v>3169</v>
      </c>
      <c r="P11" s="5" t="s">
        <v>5</v>
      </c>
      <c r="Q11" s="18">
        <v>2</v>
      </c>
      <c r="R11" s="18">
        <v>1</v>
      </c>
      <c r="S11" s="18">
        <v>24</v>
      </c>
      <c r="T11" s="14">
        <v>60000</v>
      </c>
      <c r="U11" s="14">
        <v>42000</v>
      </c>
      <c r="V11" s="14">
        <v>22000</v>
      </c>
      <c r="W11" s="4">
        <f t="shared" si="0"/>
        <v>-0.3</v>
      </c>
      <c r="Z11" s="11">
        <f t="shared" si="1"/>
        <v>0.52380952380952384</v>
      </c>
      <c r="AA11" s="19">
        <f t="shared" si="2"/>
        <v>20000</v>
      </c>
    </row>
    <row r="12" spans="2:27" x14ac:dyDescent="0.45">
      <c r="B12" s="7">
        <v>730</v>
      </c>
      <c r="C12" s="5" t="s">
        <v>703</v>
      </c>
      <c r="D12" s="5" t="s">
        <v>698</v>
      </c>
      <c r="E12" s="1" t="s">
        <v>704</v>
      </c>
      <c r="F12" s="1" t="s">
        <v>705</v>
      </c>
      <c r="G12" s="19">
        <v>4</v>
      </c>
      <c r="H12" s="19">
        <v>55</v>
      </c>
      <c r="I12" s="19">
        <v>40</v>
      </c>
      <c r="J12" s="19">
        <v>50</v>
      </c>
      <c r="K12" s="5" t="s">
        <v>284</v>
      </c>
      <c r="L12" s="2" t="s">
        <v>439</v>
      </c>
      <c r="M12" s="18">
        <v>2004</v>
      </c>
      <c r="N12" s="1" t="s">
        <v>434</v>
      </c>
      <c r="O12" s="18">
        <v>2810</v>
      </c>
      <c r="P12" s="5" t="s">
        <v>5</v>
      </c>
      <c r="Q12" s="18">
        <v>3</v>
      </c>
      <c r="R12" s="18">
        <v>1</v>
      </c>
      <c r="S12" s="18">
        <v>24</v>
      </c>
      <c r="T12" s="14">
        <v>62500</v>
      </c>
      <c r="U12" s="14">
        <v>44000</v>
      </c>
      <c r="V12" s="14">
        <v>23000</v>
      </c>
      <c r="W12" s="4">
        <f t="shared" si="0"/>
        <v>-0.29599999999999999</v>
      </c>
      <c r="Z12" s="11">
        <f t="shared" si="1"/>
        <v>0.52272727272727271</v>
      </c>
      <c r="AA12" s="19">
        <f t="shared" si="2"/>
        <v>21000</v>
      </c>
    </row>
    <row r="13" spans="2:27" x14ac:dyDescent="0.45">
      <c r="B13" s="7">
        <v>418</v>
      </c>
      <c r="C13" s="1" t="s">
        <v>554</v>
      </c>
      <c r="D13" s="1" t="s">
        <v>555</v>
      </c>
      <c r="E13" s="1" t="s">
        <v>572</v>
      </c>
      <c r="F13" s="1" t="s">
        <v>569</v>
      </c>
      <c r="G13" s="19">
        <v>3</v>
      </c>
      <c r="H13" s="19">
        <v>58</v>
      </c>
      <c r="I13" s="19">
        <v>32</v>
      </c>
      <c r="J13" s="19">
        <v>45</v>
      </c>
      <c r="K13" s="2" t="s">
        <v>217</v>
      </c>
      <c r="L13" s="2" t="s">
        <v>433</v>
      </c>
      <c r="M13" s="19">
        <v>1994</v>
      </c>
      <c r="N13" s="1" t="s">
        <v>434</v>
      </c>
      <c r="O13" s="19">
        <v>1372</v>
      </c>
      <c r="P13" s="1" t="s">
        <v>5</v>
      </c>
      <c r="Q13" s="19">
        <v>2</v>
      </c>
      <c r="R13" s="19">
        <v>1</v>
      </c>
      <c r="S13" s="19">
        <v>13</v>
      </c>
      <c r="T13" s="14">
        <v>59900</v>
      </c>
      <c r="U13" s="14">
        <v>44200</v>
      </c>
      <c r="V13" s="14">
        <v>24000</v>
      </c>
      <c r="W13" s="4">
        <f t="shared" si="0"/>
        <v>-0.26210350584307179</v>
      </c>
      <c r="Z13" s="11">
        <f t="shared" si="1"/>
        <v>0.54298642533936647</v>
      </c>
      <c r="AA13" s="19">
        <f t="shared" si="2"/>
        <v>20200</v>
      </c>
    </row>
    <row r="14" spans="2:27" x14ac:dyDescent="0.45">
      <c r="B14" s="7">
        <v>688</v>
      </c>
      <c r="C14" s="5" t="s">
        <v>33</v>
      </c>
      <c r="D14" s="1" t="s">
        <v>652</v>
      </c>
      <c r="E14" s="1" t="s">
        <v>664</v>
      </c>
      <c r="F14" s="1" t="s">
        <v>663</v>
      </c>
      <c r="G14" s="19">
        <v>4</v>
      </c>
      <c r="H14" s="19">
        <v>53</v>
      </c>
      <c r="I14" s="19">
        <v>36</v>
      </c>
      <c r="J14" s="19">
        <v>43</v>
      </c>
      <c r="K14" s="5" t="s">
        <v>328</v>
      </c>
      <c r="L14" s="2" t="s">
        <v>433</v>
      </c>
      <c r="M14" s="18">
        <v>1998</v>
      </c>
      <c r="N14" s="1" t="s">
        <v>434</v>
      </c>
      <c r="O14" s="18">
        <v>1236</v>
      </c>
      <c r="P14" s="5" t="s">
        <v>5</v>
      </c>
      <c r="Q14" s="18">
        <v>2</v>
      </c>
      <c r="R14" s="18">
        <v>1</v>
      </c>
      <c r="S14" s="18">
        <v>24</v>
      </c>
      <c r="T14" s="14">
        <v>59900</v>
      </c>
      <c r="U14" s="14">
        <v>45000</v>
      </c>
      <c r="V14" s="14">
        <v>28000</v>
      </c>
      <c r="W14" s="4">
        <f t="shared" si="0"/>
        <v>-0.24874791318864775</v>
      </c>
      <c r="Z14" s="11">
        <f t="shared" si="1"/>
        <v>0.62222222222222223</v>
      </c>
      <c r="AA14" s="19">
        <f t="shared" si="2"/>
        <v>17000</v>
      </c>
    </row>
    <row r="15" spans="2:27" x14ac:dyDescent="0.45">
      <c r="B15" s="7">
        <v>746</v>
      </c>
      <c r="C15" s="5" t="s">
        <v>242</v>
      </c>
      <c r="D15" s="5" t="s">
        <v>711</v>
      </c>
      <c r="E15" s="1" t="s">
        <v>720</v>
      </c>
      <c r="F15" s="1" t="s">
        <v>721</v>
      </c>
      <c r="G15" s="19">
        <v>3</v>
      </c>
      <c r="H15" s="19">
        <v>58</v>
      </c>
      <c r="I15" s="19">
        <v>68</v>
      </c>
      <c r="J15" s="19">
        <v>51</v>
      </c>
      <c r="K15" s="5" t="s">
        <v>385</v>
      </c>
      <c r="L15" s="2" t="s">
        <v>433</v>
      </c>
      <c r="M15" s="18">
        <v>1992</v>
      </c>
      <c r="N15" s="1" t="s">
        <v>434</v>
      </c>
      <c r="O15" s="18">
        <v>2328</v>
      </c>
      <c r="P15" s="5" t="s">
        <v>5</v>
      </c>
      <c r="Q15" s="18">
        <v>2</v>
      </c>
      <c r="R15" s="18">
        <v>1</v>
      </c>
      <c r="S15" s="18">
        <v>17</v>
      </c>
      <c r="T15" s="14">
        <v>67000</v>
      </c>
      <c r="U15" s="14">
        <v>47000</v>
      </c>
      <c r="V15" s="14">
        <v>15000</v>
      </c>
      <c r="W15" s="4">
        <f t="shared" si="0"/>
        <v>-0.29850746268656714</v>
      </c>
      <c r="Z15" s="11">
        <f t="shared" si="1"/>
        <v>0.31914893617021278</v>
      </c>
      <c r="AA15" s="19">
        <f t="shared" si="2"/>
        <v>32000</v>
      </c>
    </row>
    <row r="16" spans="2:27" x14ac:dyDescent="0.45">
      <c r="B16" s="7">
        <v>792</v>
      </c>
      <c r="C16" s="5" t="s">
        <v>212</v>
      </c>
      <c r="D16" s="5" t="s">
        <v>753</v>
      </c>
      <c r="E16" s="1" t="s">
        <v>759</v>
      </c>
      <c r="F16" s="1" t="s">
        <v>760</v>
      </c>
      <c r="G16" s="19">
        <v>5</v>
      </c>
      <c r="H16" s="19">
        <v>50</v>
      </c>
      <c r="I16" s="19">
        <v>62</v>
      </c>
      <c r="J16" s="19">
        <v>45</v>
      </c>
      <c r="K16" s="5" t="s">
        <v>761</v>
      </c>
      <c r="L16" s="2" t="s">
        <v>433</v>
      </c>
      <c r="M16" s="18">
        <v>1990</v>
      </c>
      <c r="N16" s="1" t="s">
        <v>447</v>
      </c>
      <c r="O16" s="18">
        <v>808</v>
      </c>
      <c r="P16" s="5" t="s">
        <v>5</v>
      </c>
      <c r="Q16" s="18">
        <v>2</v>
      </c>
      <c r="R16" s="18">
        <v>1</v>
      </c>
      <c r="S16" s="18">
        <v>18</v>
      </c>
      <c r="T16" s="14">
        <v>53500</v>
      </c>
      <c r="U16" s="14">
        <v>47000</v>
      </c>
      <c r="V16" s="14">
        <v>33000</v>
      </c>
      <c r="W16" s="4">
        <f t="shared" si="0"/>
        <v>-0.12149532710280374</v>
      </c>
      <c r="Z16" s="11">
        <f t="shared" si="1"/>
        <v>0.7021276595744681</v>
      </c>
      <c r="AA16" s="19">
        <f t="shared" si="2"/>
        <v>14000</v>
      </c>
    </row>
    <row r="17" spans="2:27" x14ac:dyDescent="0.45">
      <c r="B17" s="7">
        <v>2307</v>
      </c>
      <c r="C17" s="5" t="s">
        <v>179</v>
      </c>
      <c r="D17" s="5" t="s">
        <v>1204</v>
      </c>
      <c r="E17" s="1" t="s">
        <v>1207</v>
      </c>
      <c r="F17" s="1" t="s">
        <v>1208</v>
      </c>
      <c r="G17" s="19">
        <v>4</v>
      </c>
      <c r="H17" s="19">
        <v>55</v>
      </c>
      <c r="I17" s="19">
        <v>65</v>
      </c>
      <c r="J17" s="19">
        <v>50</v>
      </c>
      <c r="K17" s="5" t="s">
        <v>294</v>
      </c>
      <c r="L17" s="2" t="s">
        <v>433</v>
      </c>
      <c r="M17" s="18">
        <v>1997</v>
      </c>
      <c r="N17" s="1" t="s">
        <v>447</v>
      </c>
      <c r="O17" s="18">
        <v>800</v>
      </c>
      <c r="P17" s="5" t="s">
        <v>5</v>
      </c>
      <c r="Q17" s="18">
        <v>3</v>
      </c>
      <c r="R17" s="18">
        <v>1</v>
      </c>
      <c r="S17" s="18">
        <v>24</v>
      </c>
      <c r="T17" s="14">
        <v>65000</v>
      </c>
      <c r="U17" s="14">
        <v>49000</v>
      </c>
      <c r="V17" s="14">
        <v>31000</v>
      </c>
      <c r="W17" s="4">
        <f t="shared" si="0"/>
        <v>-0.24615384615384617</v>
      </c>
      <c r="Z17" s="11">
        <f t="shared" si="1"/>
        <v>0.63265306122448983</v>
      </c>
      <c r="AA17" s="19">
        <f t="shared" si="2"/>
        <v>18000</v>
      </c>
    </row>
    <row r="18" spans="2:27" x14ac:dyDescent="0.45">
      <c r="B18" s="7">
        <v>419</v>
      </c>
      <c r="C18" s="1" t="s">
        <v>554</v>
      </c>
      <c r="D18" s="1" t="s">
        <v>555</v>
      </c>
      <c r="E18" s="1" t="s">
        <v>572</v>
      </c>
      <c r="F18" s="1" t="s">
        <v>569</v>
      </c>
      <c r="G18" s="19">
        <v>3</v>
      </c>
      <c r="H18" s="19">
        <v>58</v>
      </c>
      <c r="I18" s="19">
        <v>32</v>
      </c>
      <c r="J18" s="19">
        <v>45</v>
      </c>
      <c r="K18" s="2" t="s">
        <v>217</v>
      </c>
      <c r="L18" s="2" t="s">
        <v>433</v>
      </c>
      <c r="M18" s="19">
        <v>1994</v>
      </c>
      <c r="N18" s="1" t="s">
        <v>434</v>
      </c>
      <c r="O18" s="19">
        <v>1372</v>
      </c>
      <c r="P18" s="1" t="s">
        <v>5</v>
      </c>
      <c r="Q18" s="19">
        <v>2</v>
      </c>
      <c r="R18" s="19">
        <v>1</v>
      </c>
      <c r="S18" s="19">
        <v>16</v>
      </c>
      <c r="T18" s="14">
        <v>65000</v>
      </c>
      <c r="U18" s="14">
        <v>49500</v>
      </c>
      <c r="V18" s="14">
        <v>27000</v>
      </c>
      <c r="W18" s="4">
        <f t="shared" si="0"/>
        <v>-0.23846153846153847</v>
      </c>
      <c r="Z18" s="11">
        <f t="shared" si="1"/>
        <v>0.54545454545454541</v>
      </c>
      <c r="AA18" s="19">
        <f t="shared" si="2"/>
        <v>22500</v>
      </c>
    </row>
    <row r="19" spans="2:27" x14ac:dyDescent="0.45">
      <c r="B19" s="7">
        <v>296</v>
      </c>
      <c r="C19" s="1" t="s">
        <v>282</v>
      </c>
      <c r="D19" s="1" t="s">
        <v>541</v>
      </c>
      <c r="E19" s="1" t="s">
        <v>542</v>
      </c>
      <c r="F19" s="1" t="s">
        <v>543</v>
      </c>
      <c r="G19" s="19">
        <v>7</v>
      </c>
      <c r="H19" s="19">
        <v>55</v>
      </c>
      <c r="I19" s="19">
        <v>52</v>
      </c>
      <c r="J19" s="19">
        <v>40</v>
      </c>
      <c r="K19" s="1" t="s">
        <v>283</v>
      </c>
      <c r="L19" s="2" t="s">
        <v>433</v>
      </c>
      <c r="M19" s="19">
        <v>1993</v>
      </c>
      <c r="N19" s="1" t="s">
        <v>434</v>
      </c>
      <c r="O19" s="19">
        <v>1454</v>
      </c>
      <c r="P19" s="5" t="s">
        <v>5</v>
      </c>
      <c r="Q19" s="18">
        <v>3</v>
      </c>
      <c r="R19" s="19">
        <v>1</v>
      </c>
      <c r="S19" s="18">
        <v>24</v>
      </c>
      <c r="T19" s="14">
        <v>65000</v>
      </c>
      <c r="U19" s="14">
        <v>51000</v>
      </c>
      <c r="V19" s="14">
        <v>38000</v>
      </c>
      <c r="W19" s="4">
        <f t="shared" si="0"/>
        <v>-0.2153846153846154</v>
      </c>
      <c r="Z19" s="11">
        <f t="shared" si="1"/>
        <v>0.74509803921568629</v>
      </c>
      <c r="AA19" s="19">
        <f t="shared" si="2"/>
        <v>13000</v>
      </c>
    </row>
    <row r="20" spans="2:27" x14ac:dyDescent="0.45">
      <c r="B20" s="7">
        <v>803</v>
      </c>
      <c r="C20" s="5" t="s">
        <v>310</v>
      </c>
      <c r="D20" s="5" t="s">
        <v>753</v>
      </c>
      <c r="E20" s="1" t="s">
        <v>768</v>
      </c>
      <c r="F20" s="1" t="s">
        <v>769</v>
      </c>
      <c r="G20" s="19">
        <v>4</v>
      </c>
      <c r="H20" s="19">
        <v>58</v>
      </c>
      <c r="I20" s="19">
        <v>70</v>
      </c>
      <c r="J20" s="19">
        <v>52</v>
      </c>
      <c r="K20" s="5" t="s">
        <v>313</v>
      </c>
      <c r="L20" s="2" t="s">
        <v>433</v>
      </c>
      <c r="M20" s="18">
        <v>1990</v>
      </c>
      <c r="N20" s="1" t="s">
        <v>447</v>
      </c>
      <c r="O20" s="18">
        <v>783</v>
      </c>
      <c r="P20" s="5" t="s">
        <v>18</v>
      </c>
      <c r="Q20" s="18">
        <v>3</v>
      </c>
      <c r="R20" s="18">
        <v>1</v>
      </c>
      <c r="S20" s="18">
        <v>27</v>
      </c>
      <c r="T20" s="14">
        <v>62000</v>
      </c>
      <c r="U20" s="14">
        <v>52000</v>
      </c>
      <c r="V20" s="14">
        <v>33000</v>
      </c>
      <c r="W20" s="4">
        <f t="shared" si="0"/>
        <v>-0.16129032258064516</v>
      </c>
      <c r="Z20" s="11">
        <f t="shared" si="1"/>
        <v>0.63461538461538458</v>
      </c>
      <c r="AA20" s="19">
        <f t="shared" si="2"/>
        <v>19000</v>
      </c>
    </row>
    <row r="21" spans="2:27" x14ac:dyDescent="0.45">
      <c r="B21" s="7">
        <v>739</v>
      </c>
      <c r="C21" s="5" t="s">
        <v>242</v>
      </c>
      <c r="D21" s="5" t="s">
        <v>711</v>
      </c>
      <c r="E21" s="1" t="s">
        <v>716</v>
      </c>
      <c r="F21" s="1" t="s">
        <v>717</v>
      </c>
      <c r="G21" s="19">
        <v>3</v>
      </c>
      <c r="H21" s="19">
        <v>52</v>
      </c>
      <c r="I21" s="19">
        <v>62</v>
      </c>
      <c r="J21" s="19">
        <v>45</v>
      </c>
      <c r="K21" s="5" t="s">
        <v>386</v>
      </c>
      <c r="L21" s="2" t="s">
        <v>433</v>
      </c>
      <c r="M21" s="18">
        <v>1990</v>
      </c>
      <c r="N21" s="1" t="s">
        <v>434</v>
      </c>
      <c r="O21" s="18">
        <v>3481</v>
      </c>
      <c r="P21" s="5" t="s">
        <v>5</v>
      </c>
      <c r="Q21" s="18">
        <v>3</v>
      </c>
      <c r="R21" s="18">
        <v>1</v>
      </c>
      <c r="S21" s="18">
        <v>18</v>
      </c>
      <c r="T21" s="14">
        <v>62000</v>
      </c>
      <c r="U21" s="14">
        <v>53000</v>
      </c>
      <c r="V21" s="14">
        <v>29000</v>
      </c>
      <c r="W21" s="4">
        <f t="shared" si="0"/>
        <v>-0.14516129032258066</v>
      </c>
      <c r="Z21" s="11">
        <f t="shared" si="1"/>
        <v>0.54716981132075471</v>
      </c>
      <c r="AA21" s="19">
        <f t="shared" si="2"/>
        <v>24000</v>
      </c>
    </row>
    <row r="22" spans="2:27" x14ac:dyDescent="0.45">
      <c r="B22" s="7">
        <v>750</v>
      </c>
      <c r="C22" s="5" t="s">
        <v>242</v>
      </c>
      <c r="D22" s="5" t="s">
        <v>711</v>
      </c>
      <c r="E22" s="1" t="s">
        <v>722</v>
      </c>
      <c r="F22" s="1" t="s">
        <v>723</v>
      </c>
      <c r="G22" s="19">
        <v>5</v>
      </c>
      <c r="H22" s="19">
        <v>60</v>
      </c>
      <c r="I22" s="19">
        <v>70</v>
      </c>
      <c r="J22" s="19">
        <v>53</v>
      </c>
      <c r="K22" s="5" t="s">
        <v>384</v>
      </c>
      <c r="L22" s="2" t="s">
        <v>433</v>
      </c>
      <c r="M22" s="18">
        <v>1989</v>
      </c>
      <c r="N22" s="1" t="s">
        <v>434</v>
      </c>
      <c r="O22" s="18">
        <v>1890</v>
      </c>
      <c r="P22" s="5" t="s">
        <v>18</v>
      </c>
      <c r="Q22" s="18">
        <v>2</v>
      </c>
      <c r="R22" s="18">
        <v>1</v>
      </c>
      <c r="S22" s="18">
        <v>21</v>
      </c>
      <c r="T22" s="14">
        <v>68000</v>
      </c>
      <c r="U22" s="14">
        <v>53000</v>
      </c>
      <c r="V22" s="14">
        <v>30000</v>
      </c>
      <c r="W22" s="4">
        <f t="shared" si="0"/>
        <v>-0.22058823529411764</v>
      </c>
      <c r="Z22" s="11">
        <f t="shared" si="1"/>
        <v>0.56603773584905659</v>
      </c>
      <c r="AA22" s="19">
        <f t="shared" si="2"/>
        <v>23000</v>
      </c>
    </row>
    <row r="23" spans="2:27" x14ac:dyDescent="0.45">
      <c r="B23" s="7">
        <v>769</v>
      </c>
      <c r="C23" s="5" t="s">
        <v>242</v>
      </c>
      <c r="D23" s="5" t="s">
        <v>711</v>
      </c>
      <c r="E23" s="1" t="s">
        <v>738</v>
      </c>
      <c r="F23" s="1" t="s">
        <v>736</v>
      </c>
      <c r="G23" s="19">
        <v>3</v>
      </c>
      <c r="H23" s="19">
        <v>48</v>
      </c>
      <c r="I23" s="19">
        <v>60</v>
      </c>
      <c r="J23" s="19">
        <v>40</v>
      </c>
      <c r="K23" s="5" t="s">
        <v>246</v>
      </c>
      <c r="L23" s="2" t="s">
        <v>433</v>
      </c>
      <c r="M23" s="18">
        <v>1988</v>
      </c>
      <c r="N23" s="1" t="s">
        <v>434</v>
      </c>
      <c r="O23" s="18">
        <v>2634</v>
      </c>
      <c r="P23" s="5" t="s">
        <v>5</v>
      </c>
      <c r="Q23" s="18">
        <v>2</v>
      </c>
      <c r="R23" s="18">
        <v>1</v>
      </c>
      <c r="S23" s="18">
        <v>18</v>
      </c>
      <c r="T23" s="14">
        <v>70000</v>
      </c>
      <c r="U23" s="14">
        <v>53000</v>
      </c>
      <c r="V23" s="14">
        <v>23000</v>
      </c>
      <c r="W23" s="4">
        <f t="shared" si="0"/>
        <v>-0.24285714285714285</v>
      </c>
      <c r="Z23" s="11">
        <f t="shared" si="1"/>
        <v>0.43396226415094341</v>
      </c>
      <c r="AA23" s="19">
        <f t="shared" si="2"/>
        <v>30000</v>
      </c>
    </row>
    <row r="24" spans="2:27" x14ac:dyDescent="0.45">
      <c r="B24" s="7">
        <v>775</v>
      </c>
      <c r="C24" s="5" t="s">
        <v>726</v>
      </c>
      <c r="D24" s="5" t="s">
        <v>711</v>
      </c>
      <c r="E24" s="1" t="s">
        <v>740</v>
      </c>
      <c r="F24" s="1" t="s">
        <v>741</v>
      </c>
      <c r="G24" s="19">
        <v>4</v>
      </c>
      <c r="H24" s="19">
        <v>55</v>
      </c>
      <c r="I24" s="19">
        <v>67</v>
      </c>
      <c r="J24" s="19">
        <v>47</v>
      </c>
      <c r="K24" s="5" t="s">
        <v>244</v>
      </c>
      <c r="L24" s="2" t="s">
        <v>433</v>
      </c>
      <c r="M24" s="18">
        <v>1988</v>
      </c>
      <c r="N24" s="1" t="s">
        <v>434</v>
      </c>
      <c r="O24" s="18">
        <v>1739</v>
      </c>
      <c r="P24" s="5" t="s">
        <v>5</v>
      </c>
      <c r="Q24" s="18">
        <v>2</v>
      </c>
      <c r="R24" s="18">
        <v>1</v>
      </c>
      <c r="S24" s="18">
        <v>21</v>
      </c>
      <c r="T24" s="14">
        <v>70800</v>
      </c>
      <c r="U24" s="14">
        <v>53000</v>
      </c>
      <c r="V24" s="14">
        <v>27000</v>
      </c>
      <c r="W24" s="4">
        <f t="shared" si="0"/>
        <v>-0.25141242937853109</v>
      </c>
      <c r="Z24" s="11">
        <f t="shared" si="1"/>
        <v>0.50943396226415094</v>
      </c>
      <c r="AA24" s="19">
        <f t="shared" si="2"/>
        <v>26000</v>
      </c>
    </row>
    <row r="25" spans="2:27" x14ac:dyDescent="0.45">
      <c r="B25" s="7">
        <v>789</v>
      </c>
      <c r="C25" s="5" t="s">
        <v>394</v>
      </c>
      <c r="D25" s="5" t="s">
        <v>753</v>
      </c>
      <c r="E25" s="1" t="s">
        <v>757</v>
      </c>
      <c r="F25" s="1" t="s">
        <v>758</v>
      </c>
      <c r="G25" s="19">
        <v>3</v>
      </c>
      <c r="H25" s="19">
        <v>55</v>
      </c>
      <c r="I25" s="19">
        <v>68</v>
      </c>
      <c r="J25" s="19">
        <v>50</v>
      </c>
      <c r="K25" s="5" t="s">
        <v>399</v>
      </c>
      <c r="L25" s="2" t="s">
        <v>433</v>
      </c>
      <c r="M25" s="18">
        <v>1988</v>
      </c>
      <c r="N25" s="1" t="s">
        <v>447</v>
      </c>
      <c r="O25" s="18">
        <v>910</v>
      </c>
      <c r="P25" s="5" t="s">
        <v>5</v>
      </c>
      <c r="Q25" s="18">
        <v>2</v>
      </c>
      <c r="R25" s="18">
        <v>1</v>
      </c>
      <c r="S25" s="18">
        <v>18</v>
      </c>
      <c r="T25" s="14">
        <v>63800</v>
      </c>
      <c r="U25" s="14">
        <v>53000</v>
      </c>
      <c r="V25" s="14">
        <v>18000</v>
      </c>
      <c r="W25" s="4">
        <f t="shared" si="0"/>
        <v>-0.16927899686520376</v>
      </c>
      <c r="Z25" s="11">
        <f t="shared" si="1"/>
        <v>0.33962264150943394</v>
      </c>
      <c r="AA25" s="19">
        <f t="shared" si="2"/>
        <v>35000</v>
      </c>
    </row>
    <row r="26" spans="2:27" x14ac:dyDescent="0.45">
      <c r="B26" s="7">
        <v>2312</v>
      </c>
      <c r="C26" s="5" t="s">
        <v>179</v>
      </c>
      <c r="D26" s="5" t="s">
        <v>1204</v>
      </c>
      <c r="E26" s="1" t="s">
        <v>1210</v>
      </c>
      <c r="F26" s="1" t="s">
        <v>1211</v>
      </c>
      <c r="G26" s="19">
        <v>5</v>
      </c>
      <c r="H26" s="19">
        <v>55</v>
      </c>
      <c r="I26" s="19">
        <v>65</v>
      </c>
      <c r="J26" s="19">
        <v>50</v>
      </c>
      <c r="K26" s="5" t="s">
        <v>292</v>
      </c>
      <c r="L26" s="2" t="s">
        <v>433</v>
      </c>
      <c r="M26" s="18">
        <v>1996</v>
      </c>
      <c r="N26" s="1" t="s">
        <v>434</v>
      </c>
      <c r="O26" s="18">
        <v>1609</v>
      </c>
      <c r="P26" s="5" t="s">
        <v>5</v>
      </c>
      <c r="Q26" s="18">
        <v>2</v>
      </c>
      <c r="R26" s="18">
        <v>1</v>
      </c>
      <c r="S26" s="18">
        <v>20</v>
      </c>
      <c r="T26" s="14">
        <v>67800</v>
      </c>
      <c r="U26" s="14">
        <v>54000</v>
      </c>
      <c r="V26" s="14">
        <v>30000</v>
      </c>
      <c r="W26" s="4">
        <f t="shared" si="0"/>
        <v>-0.20353982300884957</v>
      </c>
      <c r="Z26" s="11">
        <f t="shared" si="1"/>
        <v>0.55555555555555558</v>
      </c>
      <c r="AA26" s="19">
        <f t="shared" si="2"/>
        <v>24000</v>
      </c>
    </row>
    <row r="27" spans="2:27" x14ac:dyDescent="0.45">
      <c r="B27" s="7">
        <v>298</v>
      </c>
      <c r="C27" s="1" t="s">
        <v>220</v>
      </c>
      <c r="D27" s="1" t="s">
        <v>541</v>
      </c>
      <c r="E27" s="1" t="s">
        <v>544</v>
      </c>
      <c r="F27" s="1" t="s">
        <v>545</v>
      </c>
      <c r="G27" s="19">
        <v>5</v>
      </c>
      <c r="H27" s="19">
        <v>58</v>
      </c>
      <c r="I27" s="19">
        <v>55</v>
      </c>
      <c r="J27" s="19">
        <v>42</v>
      </c>
      <c r="K27" s="1" t="s">
        <v>221</v>
      </c>
      <c r="L27" s="2" t="s">
        <v>433</v>
      </c>
      <c r="M27" s="19">
        <v>1991</v>
      </c>
      <c r="N27" s="1" t="s">
        <v>434</v>
      </c>
      <c r="O27" s="19">
        <v>1430</v>
      </c>
      <c r="P27" s="5" t="s">
        <v>5</v>
      </c>
      <c r="Q27" s="18">
        <v>2</v>
      </c>
      <c r="R27" s="19">
        <v>1</v>
      </c>
      <c r="S27" s="18">
        <v>21</v>
      </c>
      <c r="T27" s="14">
        <v>72000</v>
      </c>
      <c r="U27" s="14">
        <v>55000</v>
      </c>
      <c r="V27" s="14">
        <v>25000</v>
      </c>
      <c r="W27" s="4">
        <f t="shared" si="0"/>
        <v>-0.2361111111111111</v>
      </c>
      <c r="Z27" s="11">
        <f t="shared" si="1"/>
        <v>0.45454545454545453</v>
      </c>
      <c r="AA27" s="19">
        <f t="shared" si="2"/>
        <v>30000</v>
      </c>
    </row>
    <row r="28" spans="2:27" x14ac:dyDescent="0.45">
      <c r="B28" s="7">
        <v>731</v>
      </c>
      <c r="C28" s="5" t="s">
        <v>703</v>
      </c>
      <c r="D28" s="5" t="s">
        <v>698</v>
      </c>
      <c r="E28" s="1" t="s">
        <v>704</v>
      </c>
      <c r="F28" s="1" t="s">
        <v>705</v>
      </c>
      <c r="G28" s="19">
        <v>4</v>
      </c>
      <c r="H28" s="19">
        <v>55</v>
      </c>
      <c r="I28" s="19">
        <v>40</v>
      </c>
      <c r="J28" s="19">
        <v>50</v>
      </c>
      <c r="K28" s="5" t="s">
        <v>284</v>
      </c>
      <c r="L28" s="2" t="s">
        <v>439</v>
      </c>
      <c r="M28" s="18">
        <v>2004</v>
      </c>
      <c r="N28" s="1" t="s">
        <v>434</v>
      </c>
      <c r="O28" s="18">
        <v>2810</v>
      </c>
      <c r="P28" s="5" t="s">
        <v>18</v>
      </c>
      <c r="Q28" s="18">
        <v>3</v>
      </c>
      <c r="R28" s="18">
        <v>2</v>
      </c>
      <c r="S28" s="18">
        <v>33</v>
      </c>
      <c r="T28" s="14">
        <v>75000</v>
      </c>
      <c r="U28" s="14">
        <v>55000</v>
      </c>
      <c r="V28" s="14">
        <v>40000</v>
      </c>
      <c r="W28" s="4">
        <f t="shared" si="0"/>
        <v>-0.26666666666666666</v>
      </c>
      <c r="Z28" s="11">
        <f t="shared" si="1"/>
        <v>0.72727272727272729</v>
      </c>
      <c r="AA28" s="19">
        <f t="shared" si="2"/>
        <v>15000</v>
      </c>
    </row>
    <row r="29" spans="2:27" x14ac:dyDescent="0.45">
      <c r="B29" s="7">
        <v>804</v>
      </c>
      <c r="C29" s="5" t="s">
        <v>310</v>
      </c>
      <c r="D29" s="5" t="s">
        <v>753</v>
      </c>
      <c r="E29" s="1" t="s">
        <v>768</v>
      </c>
      <c r="F29" s="1" t="s">
        <v>769</v>
      </c>
      <c r="G29" s="19">
        <v>4</v>
      </c>
      <c r="H29" s="19">
        <v>58</v>
      </c>
      <c r="I29" s="19">
        <v>70</v>
      </c>
      <c r="J29" s="19">
        <v>52</v>
      </c>
      <c r="K29" s="5" t="s">
        <v>313</v>
      </c>
      <c r="L29" s="2" t="s">
        <v>433</v>
      </c>
      <c r="M29" s="18">
        <v>1990</v>
      </c>
      <c r="N29" s="1" t="s">
        <v>447</v>
      </c>
      <c r="O29" s="18">
        <v>783</v>
      </c>
      <c r="P29" s="5" t="s">
        <v>18</v>
      </c>
      <c r="Q29" s="18">
        <v>3</v>
      </c>
      <c r="R29" s="18">
        <v>2</v>
      </c>
      <c r="S29" s="18">
        <v>31</v>
      </c>
      <c r="T29" s="14">
        <v>68700</v>
      </c>
      <c r="U29" s="14">
        <v>55000</v>
      </c>
      <c r="V29" s="14">
        <v>40000</v>
      </c>
      <c r="W29" s="4">
        <f t="shared" si="0"/>
        <v>-0.19941775836972345</v>
      </c>
      <c r="Z29" s="11">
        <f t="shared" si="1"/>
        <v>0.72727272727272729</v>
      </c>
      <c r="AA29" s="19">
        <f t="shared" si="2"/>
        <v>15000</v>
      </c>
    </row>
    <row r="30" spans="2:27" x14ac:dyDescent="0.45">
      <c r="B30" s="7">
        <v>756</v>
      </c>
      <c r="C30" s="5" t="s">
        <v>729</v>
      </c>
      <c r="D30" s="5" t="s">
        <v>711</v>
      </c>
      <c r="E30" s="1" t="s">
        <v>730</v>
      </c>
      <c r="F30" s="1" t="s">
        <v>731</v>
      </c>
      <c r="G30" s="19">
        <v>5</v>
      </c>
      <c r="H30" s="19">
        <v>52</v>
      </c>
      <c r="I30" s="19">
        <v>42</v>
      </c>
      <c r="J30" s="19">
        <v>35</v>
      </c>
      <c r="K30" s="5" t="s">
        <v>341</v>
      </c>
      <c r="L30" s="2" t="s">
        <v>439</v>
      </c>
      <c r="M30" s="18">
        <v>2006</v>
      </c>
      <c r="N30" s="1" t="s">
        <v>440</v>
      </c>
      <c r="O30" s="18">
        <v>225</v>
      </c>
      <c r="P30" s="5" t="s">
        <v>18</v>
      </c>
      <c r="Q30" s="18">
        <v>3</v>
      </c>
      <c r="R30" s="18">
        <v>2</v>
      </c>
      <c r="S30" s="18">
        <v>24</v>
      </c>
      <c r="T30" s="14">
        <v>66700</v>
      </c>
      <c r="U30" s="14">
        <v>56000</v>
      </c>
      <c r="V30" s="14">
        <v>35000</v>
      </c>
      <c r="W30" s="4">
        <f t="shared" si="0"/>
        <v>-0.16041979010494753</v>
      </c>
      <c r="Z30" s="11">
        <f t="shared" si="1"/>
        <v>0.625</v>
      </c>
      <c r="AA30" s="19">
        <f t="shared" si="2"/>
        <v>21000</v>
      </c>
    </row>
    <row r="31" spans="2:27" x14ac:dyDescent="0.45">
      <c r="B31" s="7">
        <v>814</v>
      </c>
      <c r="C31" s="5" t="s">
        <v>114</v>
      </c>
      <c r="D31" s="5" t="s">
        <v>753</v>
      </c>
      <c r="E31" s="1" t="s">
        <v>777</v>
      </c>
      <c r="F31" s="1" t="s">
        <v>778</v>
      </c>
      <c r="G31" s="19">
        <v>4</v>
      </c>
      <c r="H31" s="19">
        <v>65</v>
      </c>
      <c r="I31" s="19">
        <v>75</v>
      </c>
      <c r="J31" s="19">
        <v>58</v>
      </c>
      <c r="K31" s="5" t="s">
        <v>116</v>
      </c>
      <c r="L31" s="2" t="s">
        <v>433</v>
      </c>
      <c r="M31" s="18">
        <v>1995</v>
      </c>
      <c r="N31" s="1" t="s">
        <v>434</v>
      </c>
      <c r="O31" s="18">
        <v>2678</v>
      </c>
      <c r="P31" s="5" t="s">
        <v>18</v>
      </c>
      <c r="Q31" s="18">
        <v>3</v>
      </c>
      <c r="R31" s="18">
        <v>1</v>
      </c>
      <c r="S31" s="18">
        <v>33</v>
      </c>
      <c r="T31" s="14">
        <v>73500</v>
      </c>
      <c r="U31" s="14">
        <v>56000</v>
      </c>
      <c r="V31" s="14">
        <v>32500</v>
      </c>
      <c r="W31" s="4">
        <f t="shared" si="0"/>
        <v>-0.23809523809523808</v>
      </c>
      <c r="Z31" s="11">
        <f t="shared" si="1"/>
        <v>0.5803571428571429</v>
      </c>
      <c r="AA31" s="19">
        <f t="shared" si="2"/>
        <v>23500</v>
      </c>
    </row>
    <row r="32" spans="2:27" x14ac:dyDescent="0.45">
      <c r="B32" s="7">
        <v>689</v>
      </c>
      <c r="C32" s="5" t="s">
        <v>33</v>
      </c>
      <c r="D32" s="1" t="s">
        <v>652</v>
      </c>
      <c r="E32" s="1" t="s">
        <v>664</v>
      </c>
      <c r="F32" s="1" t="s">
        <v>663</v>
      </c>
      <c r="G32" s="19">
        <v>4</v>
      </c>
      <c r="H32" s="19">
        <v>53</v>
      </c>
      <c r="I32" s="19">
        <v>36</v>
      </c>
      <c r="J32" s="19">
        <v>43</v>
      </c>
      <c r="K32" s="5" t="s">
        <v>328</v>
      </c>
      <c r="L32" s="2" t="s">
        <v>433</v>
      </c>
      <c r="M32" s="18">
        <v>1998</v>
      </c>
      <c r="N32" s="1" t="s">
        <v>434</v>
      </c>
      <c r="O32" s="18">
        <v>1236</v>
      </c>
      <c r="P32" s="5" t="s">
        <v>18</v>
      </c>
      <c r="Q32" s="18">
        <v>3</v>
      </c>
      <c r="R32" s="19">
        <v>2</v>
      </c>
      <c r="S32" s="18">
        <v>33</v>
      </c>
      <c r="T32" s="14">
        <v>72000</v>
      </c>
      <c r="U32" s="14">
        <v>57000</v>
      </c>
      <c r="V32" s="14">
        <v>43000</v>
      </c>
      <c r="W32" s="4">
        <f t="shared" si="0"/>
        <v>-0.20833333333333334</v>
      </c>
      <c r="Z32" s="11">
        <f t="shared" si="1"/>
        <v>0.75438596491228072</v>
      </c>
      <c r="AA32" s="19">
        <f t="shared" si="2"/>
        <v>14000</v>
      </c>
    </row>
    <row r="33" spans="2:27" x14ac:dyDescent="0.45">
      <c r="B33" s="7">
        <v>811</v>
      </c>
      <c r="C33" s="5" t="s">
        <v>114</v>
      </c>
      <c r="D33" s="5" t="s">
        <v>753</v>
      </c>
      <c r="E33" s="1" t="s">
        <v>773</v>
      </c>
      <c r="F33" s="1" t="s">
        <v>774</v>
      </c>
      <c r="G33" s="19">
        <v>3</v>
      </c>
      <c r="H33" s="19">
        <v>65</v>
      </c>
      <c r="I33" s="19">
        <v>75</v>
      </c>
      <c r="J33" s="19">
        <v>58</v>
      </c>
      <c r="K33" s="5" t="s">
        <v>214</v>
      </c>
      <c r="L33" s="2" t="s">
        <v>433</v>
      </c>
      <c r="M33" s="18">
        <v>1986</v>
      </c>
      <c r="N33" s="1" t="s">
        <v>434</v>
      </c>
      <c r="O33" s="18">
        <v>3169</v>
      </c>
      <c r="P33" s="5" t="s">
        <v>5</v>
      </c>
      <c r="Q33" s="18">
        <v>3</v>
      </c>
      <c r="R33" s="18">
        <v>1</v>
      </c>
      <c r="S33" s="18">
        <v>33</v>
      </c>
      <c r="T33" s="16">
        <v>70000</v>
      </c>
      <c r="U33" s="14">
        <v>58000</v>
      </c>
      <c r="V33" s="14">
        <v>33000</v>
      </c>
      <c r="W33" s="4">
        <f t="shared" si="0"/>
        <v>-0.17142857142857143</v>
      </c>
      <c r="Z33" s="11">
        <f t="shared" si="1"/>
        <v>0.56896551724137934</v>
      </c>
      <c r="AA33" s="19">
        <f t="shared" si="2"/>
        <v>25000</v>
      </c>
    </row>
    <row r="34" spans="2:27" x14ac:dyDescent="0.45">
      <c r="B34" s="7">
        <v>2325</v>
      </c>
      <c r="C34" s="5" t="s">
        <v>179</v>
      </c>
      <c r="D34" s="5" t="s">
        <v>1204</v>
      </c>
      <c r="E34" s="1" t="s">
        <v>1223</v>
      </c>
      <c r="F34" s="1" t="s">
        <v>1224</v>
      </c>
      <c r="G34" s="19">
        <v>5</v>
      </c>
      <c r="H34" s="19">
        <v>55</v>
      </c>
      <c r="I34" s="19">
        <v>60</v>
      </c>
      <c r="J34" s="19">
        <v>45</v>
      </c>
      <c r="K34" s="5" t="s">
        <v>1225</v>
      </c>
      <c r="L34" s="2" t="s">
        <v>439</v>
      </c>
      <c r="M34" s="18">
        <v>2012</v>
      </c>
      <c r="N34" s="1" t="s">
        <v>440</v>
      </c>
      <c r="O34" s="18">
        <v>381</v>
      </c>
      <c r="P34" s="5" t="s">
        <v>18</v>
      </c>
      <c r="Q34" s="18">
        <v>3</v>
      </c>
      <c r="R34" s="18">
        <v>2</v>
      </c>
      <c r="S34" s="18">
        <v>24</v>
      </c>
      <c r="T34" s="14">
        <v>72000</v>
      </c>
      <c r="U34" s="14">
        <v>58000</v>
      </c>
      <c r="V34" s="14">
        <v>36000</v>
      </c>
      <c r="W34" s="4">
        <f t="shared" si="0"/>
        <v>-0.19444444444444445</v>
      </c>
      <c r="Z34" s="11">
        <f t="shared" si="1"/>
        <v>0.62068965517241381</v>
      </c>
      <c r="AA34" s="19">
        <f t="shared" si="2"/>
        <v>22000</v>
      </c>
    </row>
    <row r="35" spans="2:27" x14ac:dyDescent="0.45">
      <c r="B35" s="7">
        <v>710</v>
      </c>
      <c r="C35" s="1" t="s">
        <v>33</v>
      </c>
      <c r="D35" s="1" t="s">
        <v>652</v>
      </c>
      <c r="E35" s="1" t="s">
        <v>682</v>
      </c>
      <c r="F35" s="1" t="s">
        <v>681</v>
      </c>
      <c r="G35" s="19">
        <v>7</v>
      </c>
      <c r="H35" s="19">
        <v>54</v>
      </c>
      <c r="I35" s="19">
        <v>34</v>
      </c>
      <c r="J35" s="19">
        <v>47</v>
      </c>
      <c r="K35" s="1" t="s">
        <v>51</v>
      </c>
      <c r="L35" s="2" t="s">
        <v>439</v>
      </c>
      <c r="M35" s="19">
        <v>2005</v>
      </c>
      <c r="N35" s="1" t="s">
        <v>440</v>
      </c>
      <c r="O35" s="19">
        <v>390</v>
      </c>
      <c r="P35" s="5" t="s">
        <v>18</v>
      </c>
      <c r="Q35" s="18">
        <v>3</v>
      </c>
      <c r="R35" s="19">
        <v>1</v>
      </c>
      <c r="S35" s="18">
        <v>24</v>
      </c>
      <c r="T35" s="14">
        <v>70000</v>
      </c>
      <c r="U35" s="14">
        <v>59000</v>
      </c>
      <c r="V35" s="14">
        <v>40000</v>
      </c>
      <c r="W35" s="4">
        <f t="shared" si="0"/>
        <v>-0.15714285714285714</v>
      </c>
      <c r="Z35" s="11">
        <f t="shared" si="1"/>
        <v>0.67796610169491522</v>
      </c>
      <c r="AA35" s="19">
        <f t="shared" si="2"/>
        <v>19000</v>
      </c>
    </row>
    <row r="36" spans="2:27" x14ac:dyDescent="0.45">
      <c r="B36" s="7">
        <v>599</v>
      </c>
      <c r="C36" s="1" t="s">
        <v>618</v>
      </c>
      <c r="D36" s="1" t="s">
        <v>607</v>
      </c>
      <c r="E36" s="1" t="s">
        <v>619</v>
      </c>
      <c r="F36" s="1" t="s">
        <v>620</v>
      </c>
      <c r="G36" s="19">
        <v>4</v>
      </c>
      <c r="H36" s="19">
        <v>45</v>
      </c>
      <c r="I36" s="19">
        <v>35</v>
      </c>
      <c r="J36" s="19">
        <v>50</v>
      </c>
      <c r="K36" s="1" t="s">
        <v>60</v>
      </c>
      <c r="L36" s="2" t="s">
        <v>439</v>
      </c>
      <c r="M36" s="19">
        <v>2008</v>
      </c>
      <c r="N36" s="1" t="s">
        <v>434</v>
      </c>
      <c r="O36" s="19">
        <v>2265</v>
      </c>
      <c r="P36" s="1" t="s">
        <v>18</v>
      </c>
      <c r="Q36" s="19">
        <v>3</v>
      </c>
      <c r="R36" s="19">
        <v>2</v>
      </c>
      <c r="S36" s="19">
        <v>25</v>
      </c>
      <c r="T36" s="14">
        <v>72000</v>
      </c>
      <c r="U36" s="14">
        <v>60000</v>
      </c>
      <c r="V36" s="14">
        <v>41000</v>
      </c>
      <c r="W36" s="4">
        <f t="shared" si="0"/>
        <v>-0.16666666666666666</v>
      </c>
      <c r="Z36" s="11">
        <f t="shared" si="1"/>
        <v>0.68333333333333335</v>
      </c>
      <c r="AA36" s="19">
        <f t="shared" si="2"/>
        <v>19000</v>
      </c>
    </row>
    <row r="37" spans="2:27" x14ac:dyDescent="0.45">
      <c r="B37" s="7">
        <v>700</v>
      </c>
      <c r="C37" s="1" t="s">
        <v>35</v>
      </c>
      <c r="D37" s="1" t="s">
        <v>652</v>
      </c>
      <c r="E37" s="1" t="s">
        <v>671</v>
      </c>
      <c r="F37" s="1" t="s">
        <v>672</v>
      </c>
      <c r="G37" s="19">
        <v>6</v>
      </c>
      <c r="H37" s="19">
        <v>42</v>
      </c>
      <c r="I37" s="19">
        <v>22</v>
      </c>
      <c r="J37" s="19">
        <v>32</v>
      </c>
      <c r="K37" s="1" t="s">
        <v>71</v>
      </c>
      <c r="L37" s="2" t="s">
        <v>439</v>
      </c>
      <c r="M37" s="19">
        <v>2001</v>
      </c>
      <c r="N37" s="1" t="s">
        <v>434</v>
      </c>
      <c r="O37" s="19">
        <v>1269</v>
      </c>
      <c r="P37" s="5" t="s">
        <v>18</v>
      </c>
      <c r="Q37" s="18">
        <v>3</v>
      </c>
      <c r="R37" s="19">
        <v>1</v>
      </c>
      <c r="S37" s="18">
        <v>24</v>
      </c>
      <c r="T37" s="14">
        <v>79000</v>
      </c>
      <c r="U37" s="14">
        <v>60000</v>
      </c>
      <c r="V37" s="14">
        <v>33000</v>
      </c>
      <c r="W37" s="4">
        <f t="shared" si="0"/>
        <v>-0.24050632911392406</v>
      </c>
      <c r="Z37" s="11">
        <f t="shared" si="1"/>
        <v>0.55000000000000004</v>
      </c>
      <c r="AA37" s="19">
        <f t="shared" si="2"/>
        <v>27000</v>
      </c>
    </row>
    <row r="38" spans="2:27" x14ac:dyDescent="0.45">
      <c r="B38" s="7">
        <v>776</v>
      </c>
      <c r="C38" s="5" t="s">
        <v>726</v>
      </c>
      <c r="D38" s="5" t="s">
        <v>711</v>
      </c>
      <c r="E38" s="1" t="s">
        <v>740</v>
      </c>
      <c r="F38" s="1" t="s">
        <v>741</v>
      </c>
      <c r="G38" s="19">
        <v>4</v>
      </c>
      <c r="H38" s="19">
        <v>55</v>
      </c>
      <c r="I38" s="19">
        <v>67</v>
      </c>
      <c r="J38" s="19">
        <v>47</v>
      </c>
      <c r="K38" s="5" t="s">
        <v>244</v>
      </c>
      <c r="L38" s="2" t="s">
        <v>433</v>
      </c>
      <c r="M38" s="18">
        <v>1988</v>
      </c>
      <c r="N38" s="1" t="s">
        <v>434</v>
      </c>
      <c r="O38" s="18">
        <v>1739</v>
      </c>
      <c r="P38" s="5" t="s">
        <v>5</v>
      </c>
      <c r="Q38" s="18">
        <v>2</v>
      </c>
      <c r="R38" s="18">
        <v>1</v>
      </c>
      <c r="S38" s="18">
        <v>24</v>
      </c>
      <c r="T38" s="14">
        <v>79500</v>
      </c>
      <c r="U38" s="14">
        <v>60000</v>
      </c>
      <c r="V38" s="14">
        <v>30000</v>
      </c>
      <c r="W38" s="4">
        <f t="shared" si="0"/>
        <v>-0.24528301886792453</v>
      </c>
      <c r="Z38" s="11">
        <f t="shared" si="1"/>
        <v>0.5</v>
      </c>
      <c r="AA38" s="19">
        <f t="shared" si="2"/>
        <v>30000</v>
      </c>
    </row>
    <row r="39" spans="2:27" x14ac:dyDescent="0.45">
      <c r="B39" s="7">
        <v>815</v>
      </c>
      <c r="C39" s="5" t="s">
        <v>114</v>
      </c>
      <c r="D39" s="5" t="s">
        <v>753</v>
      </c>
      <c r="E39" s="1" t="s">
        <v>779</v>
      </c>
      <c r="F39" s="1" t="s">
        <v>780</v>
      </c>
      <c r="G39" s="19">
        <v>5</v>
      </c>
      <c r="H39" s="19">
        <v>62</v>
      </c>
      <c r="I39" s="19">
        <v>72</v>
      </c>
      <c r="J39" s="19">
        <v>55</v>
      </c>
      <c r="K39" s="5" t="s">
        <v>115</v>
      </c>
      <c r="L39" s="2" t="s">
        <v>439</v>
      </c>
      <c r="M39" s="18">
        <v>2005</v>
      </c>
      <c r="N39" s="1" t="s">
        <v>440</v>
      </c>
      <c r="O39" s="18">
        <v>448</v>
      </c>
      <c r="P39" s="5" t="s">
        <v>18</v>
      </c>
      <c r="Q39" s="18">
        <v>3</v>
      </c>
      <c r="R39" s="18">
        <v>1</v>
      </c>
      <c r="S39" s="18">
        <v>24</v>
      </c>
      <c r="T39" s="14">
        <v>74000</v>
      </c>
      <c r="U39" s="14">
        <v>60000</v>
      </c>
      <c r="V39" s="14">
        <v>35000</v>
      </c>
      <c r="W39" s="4">
        <f t="shared" si="0"/>
        <v>-0.1891891891891892</v>
      </c>
      <c r="Z39" s="11">
        <f t="shared" si="1"/>
        <v>0.58333333333333337</v>
      </c>
      <c r="AA39" s="19">
        <f t="shared" si="2"/>
        <v>25000</v>
      </c>
    </row>
    <row r="40" spans="2:27" x14ac:dyDescent="0.45">
      <c r="B40" s="7">
        <v>312</v>
      </c>
      <c r="C40" s="1" t="s">
        <v>198</v>
      </c>
      <c r="D40" s="1" t="s">
        <v>541</v>
      </c>
      <c r="E40" s="1" t="s">
        <v>553</v>
      </c>
      <c r="F40" s="1" t="s">
        <v>548</v>
      </c>
      <c r="G40" s="19">
        <v>5</v>
      </c>
      <c r="H40" s="19">
        <v>52</v>
      </c>
      <c r="I40" s="19">
        <v>55</v>
      </c>
      <c r="J40" s="19">
        <v>40</v>
      </c>
      <c r="K40" s="1" t="s">
        <v>199</v>
      </c>
      <c r="L40" s="2" t="s">
        <v>439</v>
      </c>
      <c r="M40" s="19">
        <v>2004</v>
      </c>
      <c r="N40" s="1" t="s">
        <v>434</v>
      </c>
      <c r="O40" s="19">
        <v>3830</v>
      </c>
      <c r="P40" s="5" t="s">
        <v>18</v>
      </c>
      <c r="Q40" s="18">
        <v>3</v>
      </c>
      <c r="R40" s="18">
        <v>2</v>
      </c>
      <c r="S40" s="18">
        <v>24</v>
      </c>
      <c r="T40" s="14">
        <v>78000</v>
      </c>
      <c r="U40" s="14">
        <v>62000</v>
      </c>
      <c r="V40" s="14">
        <v>37000</v>
      </c>
      <c r="W40" s="4">
        <f t="shared" si="0"/>
        <v>-0.20512820512820512</v>
      </c>
      <c r="Z40" s="11">
        <f t="shared" si="1"/>
        <v>0.59677419354838712</v>
      </c>
      <c r="AA40" s="19">
        <f t="shared" si="2"/>
        <v>25000</v>
      </c>
    </row>
    <row r="41" spans="2:27" x14ac:dyDescent="0.45">
      <c r="B41" s="7">
        <v>724</v>
      </c>
      <c r="C41" s="1" t="s">
        <v>33</v>
      </c>
      <c r="D41" s="1" t="s">
        <v>652</v>
      </c>
      <c r="E41" s="1" t="s">
        <v>697</v>
      </c>
      <c r="F41" s="1" t="s">
        <v>696</v>
      </c>
      <c r="G41" s="19">
        <v>5</v>
      </c>
      <c r="H41" s="19">
        <v>56</v>
      </c>
      <c r="I41" s="19">
        <v>36</v>
      </c>
      <c r="J41" s="19">
        <v>49</v>
      </c>
      <c r="K41" s="1" t="s">
        <v>34</v>
      </c>
      <c r="L41" s="2" t="s">
        <v>433</v>
      </c>
      <c r="M41" s="19">
        <v>1995</v>
      </c>
      <c r="N41" s="1" t="s">
        <v>447</v>
      </c>
      <c r="O41" s="19">
        <v>783</v>
      </c>
      <c r="P41" s="5" t="s">
        <v>5</v>
      </c>
      <c r="Q41" s="18">
        <v>3</v>
      </c>
      <c r="R41" s="19">
        <v>1</v>
      </c>
      <c r="S41" s="18">
        <v>24</v>
      </c>
      <c r="T41" s="14">
        <v>69000</v>
      </c>
      <c r="U41" s="14">
        <v>62000</v>
      </c>
      <c r="V41" s="14">
        <v>35000</v>
      </c>
      <c r="W41" s="4">
        <f t="shared" si="0"/>
        <v>-0.10144927536231885</v>
      </c>
      <c r="Z41" s="11">
        <f t="shared" si="1"/>
        <v>0.56451612903225812</v>
      </c>
      <c r="AA41" s="19">
        <f t="shared" si="2"/>
        <v>27000</v>
      </c>
    </row>
    <row r="42" spans="2:27" x14ac:dyDescent="0.45">
      <c r="B42" s="7">
        <v>740</v>
      </c>
      <c r="C42" s="5" t="s">
        <v>242</v>
      </c>
      <c r="D42" s="5" t="s">
        <v>711</v>
      </c>
      <c r="E42" s="1" t="s">
        <v>716</v>
      </c>
      <c r="F42" s="1" t="s">
        <v>717</v>
      </c>
      <c r="G42" s="19">
        <v>3</v>
      </c>
      <c r="H42" s="19">
        <v>52</v>
      </c>
      <c r="I42" s="19">
        <v>62</v>
      </c>
      <c r="J42" s="19">
        <v>45</v>
      </c>
      <c r="K42" s="5" t="s">
        <v>386</v>
      </c>
      <c r="L42" s="2" t="s">
        <v>433</v>
      </c>
      <c r="M42" s="18">
        <v>1990</v>
      </c>
      <c r="N42" s="1" t="s">
        <v>434</v>
      </c>
      <c r="O42" s="18">
        <v>3481</v>
      </c>
      <c r="P42" s="5" t="s">
        <v>5</v>
      </c>
      <c r="Q42" s="18">
        <v>3</v>
      </c>
      <c r="R42" s="18">
        <v>1</v>
      </c>
      <c r="S42" s="18">
        <v>21</v>
      </c>
      <c r="T42" s="14">
        <v>72000</v>
      </c>
      <c r="U42" s="14">
        <v>62000</v>
      </c>
      <c r="V42" s="14">
        <v>28000</v>
      </c>
      <c r="W42" s="4">
        <f t="shared" si="0"/>
        <v>-0.1388888888888889</v>
      </c>
      <c r="Z42" s="11">
        <f t="shared" si="1"/>
        <v>0.45161290322580644</v>
      </c>
      <c r="AA42" s="19">
        <f t="shared" si="2"/>
        <v>34000</v>
      </c>
    </row>
    <row r="43" spans="2:27" x14ac:dyDescent="0.45">
      <c r="B43" s="7">
        <v>757</v>
      </c>
      <c r="C43" s="5" t="s">
        <v>729</v>
      </c>
      <c r="D43" s="5" t="s">
        <v>711</v>
      </c>
      <c r="E43" s="1" t="s">
        <v>730</v>
      </c>
      <c r="F43" s="1" t="s">
        <v>731</v>
      </c>
      <c r="G43" s="19">
        <v>5</v>
      </c>
      <c r="H43" s="19">
        <v>52</v>
      </c>
      <c r="I43" s="19">
        <v>42</v>
      </c>
      <c r="J43" s="19">
        <v>35</v>
      </c>
      <c r="K43" s="5" t="s">
        <v>341</v>
      </c>
      <c r="L43" s="2" t="s">
        <v>439</v>
      </c>
      <c r="M43" s="18">
        <v>2006</v>
      </c>
      <c r="N43" s="1" t="s">
        <v>440</v>
      </c>
      <c r="O43" s="18">
        <v>225</v>
      </c>
      <c r="P43" s="5" t="s">
        <v>18</v>
      </c>
      <c r="Q43" s="18">
        <v>3</v>
      </c>
      <c r="R43" s="18">
        <v>2</v>
      </c>
      <c r="S43" s="18">
        <v>33</v>
      </c>
      <c r="T43" s="14">
        <v>76500</v>
      </c>
      <c r="U43" s="14">
        <v>62000</v>
      </c>
      <c r="V43" s="14">
        <v>45000</v>
      </c>
      <c r="W43" s="4">
        <f t="shared" si="0"/>
        <v>-0.18954248366013071</v>
      </c>
      <c r="Z43" s="11">
        <f t="shared" si="1"/>
        <v>0.72580645161290325</v>
      </c>
      <c r="AA43" s="19">
        <f t="shared" si="2"/>
        <v>17000</v>
      </c>
    </row>
    <row r="44" spans="2:27" x14ac:dyDescent="0.45">
      <c r="B44" s="7">
        <v>718</v>
      </c>
      <c r="C44" s="1" t="s">
        <v>37</v>
      </c>
      <c r="D44" s="1" t="s">
        <v>652</v>
      </c>
      <c r="E44" s="1" t="s">
        <v>690</v>
      </c>
      <c r="F44" s="1" t="s">
        <v>691</v>
      </c>
      <c r="G44" s="19">
        <v>6</v>
      </c>
      <c r="H44" s="19">
        <v>53</v>
      </c>
      <c r="I44" s="19">
        <v>33</v>
      </c>
      <c r="J44" s="19">
        <v>46</v>
      </c>
      <c r="K44" s="1" t="s">
        <v>692</v>
      </c>
      <c r="L44" s="2" t="s">
        <v>439</v>
      </c>
      <c r="M44" s="19">
        <v>2000</v>
      </c>
      <c r="N44" s="1" t="s">
        <v>434</v>
      </c>
      <c r="O44" s="19">
        <v>1371</v>
      </c>
      <c r="P44" s="5" t="s">
        <v>5</v>
      </c>
      <c r="Q44" s="18">
        <v>3</v>
      </c>
      <c r="R44" s="19">
        <v>1</v>
      </c>
      <c r="S44" s="18">
        <v>24</v>
      </c>
      <c r="T44" s="14">
        <v>66500</v>
      </c>
      <c r="U44" s="14">
        <v>63000</v>
      </c>
      <c r="V44" s="14">
        <v>35000</v>
      </c>
      <c r="W44" s="4">
        <f t="shared" si="0"/>
        <v>-5.2631578947368418E-2</v>
      </c>
      <c r="Z44" s="11">
        <f t="shared" si="1"/>
        <v>0.55555555555555558</v>
      </c>
      <c r="AA44" s="19">
        <f t="shared" si="2"/>
        <v>28000</v>
      </c>
    </row>
    <row r="45" spans="2:27" x14ac:dyDescent="0.45">
      <c r="B45" s="7">
        <v>770</v>
      </c>
      <c r="C45" s="5" t="s">
        <v>242</v>
      </c>
      <c r="D45" s="5" t="s">
        <v>711</v>
      </c>
      <c r="E45" s="1" t="s">
        <v>738</v>
      </c>
      <c r="F45" s="1" t="s">
        <v>736</v>
      </c>
      <c r="G45" s="19">
        <v>3</v>
      </c>
      <c r="H45" s="19">
        <v>48</v>
      </c>
      <c r="I45" s="19">
        <v>60</v>
      </c>
      <c r="J45" s="19">
        <v>40</v>
      </c>
      <c r="K45" s="5" t="s">
        <v>246</v>
      </c>
      <c r="L45" s="2" t="s">
        <v>433</v>
      </c>
      <c r="M45" s="18">
        <v>1988</v>
      </c>
      <c r="N45" s="1" t="s">
        <v>434</v>
      </c>
      <c r="O45" s="18">
        <v>2634</v>
      </c>
      <c r="P45" s="5" t="s">
        <v>5</v>
      </c>
      <c r="Q45" s="18">
        <v>2</v>
      </c>
      <c r="R45" s="18">
        <v>1</v>
      </c>
      <c r="S45" s="18">
        <v>21</v>
      </c>
      <c r="T45" s="14">
        <v>80000</v>
      </c>
      <c r="U45" s="14">
        <v>63000</v>
      </c>
      <c r="V45" s="14">
        <v>29000</v>
      </c>
      <c r="W45" s="4">
        <f t="shared" si="0"/>
        <v>-0.21249999999999999</v>
      </c>
      <c r="Z45" s="11">
        <f t="shared" si="1"/>
        <v>0.46031746031746029</v>
      </c>
      <c r="AA45" s="19">
        <f t="shared" si="2"/>
        <v>34000</v>
      </c>
    </row>
    <row r="46" spans="2:27" x14ac:dyDescent="0.45">
      <c r="B46" s="7">
        <v>785</v>
      </c>
      <c r="C46" s="5" t="s">
        <v>726</v>
      </c>
      <c r="D46" s="5" t="s">
        <v>711</v>
      </c>
      <c r="E46" s="1" t="s">
        <v>748</v>
      </c>
      <c r="F46" s="1" t="s">
        <v>749</v>
      </c>
      <c r="G46" s="19">
        <v>4</v>
      </c>
      <c r="H46" s="19">
        <v>45</v>
      </c>
      <c r="I46" s="19">
        <v>42</v>
      </c>
      <c r="J46" s="19">
        <v>32</v>
      </c>
      <c r="K46" s="5" t="s">
        <v>750</v>
      </c>
      <c r="L46" s="2" t="s">
        <v>433</v>
      </c>
      <c r="M46" s="18">
        <v>1999</v>
      </c>
      <c r="N46" s="1" t="s">
        <v>440</v>
      </c>
      <c r="O46" s="18">
        <v>452</v>
      </c>
      <c r="P46" s="5" t="s">
        <v>5</v>
      </c>
      <c r="Q46" s="18">
        <v>3</v>
      </c>
      <c r="R46" s="18">
        <v>1</v>
      </c>
      <c r="S46" s="18">
        <v>24</v>
      </c>
      <c r="T46" s="14">
        <v>63000</v>
      </c>
      <c r="U46" s="14">
        <v>63000</v>
      </c>
      <c r="V46" s="14">
        <v>34000</v>
      </c>
      <c r="W46" s="4">
        <f t="shared" si="0"/>
        <v>0</v>
      </c>
      <c r="Z46" s="11">
        <f t="shared" si="1"/>
        <v>0.53968253968253965</v>
      </c>
      <c r="AA46" s="19">
        <f t="shared" si="2"/>
        <v>29000</v>
      </c>
    </row>
    <row r="47" spans="2:27" x14ac:dyDescent="0.45">
      <c r="B47" s="7">
        <v>805</v>
      </c>
      <c r="C47" s="5" t="s">
        <v>310</v>
      </c>
      <c r="D47" s="5" t="s">
        <v>753</v>
      </c>
      <c r="E47" s="1" t="s">
        <v>770</v>
      </c>
      <c r="F47" s="1" t="s">
        <v>771</v>
      </c>
      <c r="G47" s="19">
        <v>6</v>
      </c>
      <c r="H47" s="19">
        <v>62</v>
      </c>
      <c r="I47" s="19">
        <v>74</v>
      </c>
      <c r="J47" s="19">
        <v>55</v>
      </c>
      <c r="K47" s="5" t="s">
        <v>312</v>
      </c>
      <c r="L47" s="2" t="s">
        <v>439</v>
      </c>
      <c r="M47" s="18">
        <v>2002</v>
      </c>
      <c r="N47" s="1" t="s">
        <v>440</v>
      </c>
      <c r="O47" s="18">
        <v>407</v>
      </c>
      <c r="P47" s="5" t="s">
        <v>18</v>
      </c>
      <c r="Q47" s="18">
        <v>3</v>
      </c>
      <c r="R47" s="18">
        <v>2</v>
      </c>
      <c r="S47" s="18">
        <v>24</v>
      </c>
      <c r="T47" s="14">
        <v>69900</v>
      </c>
      <c r="U47" s="14">
        <v>63000</v>
      </c>
      <c r="V47" s="14">
        <v>38000</v>
      </c>
      <c r="W47" s="4">
        <f t="shared" si="0"/>
        <v>-9.8712446351931327E-2</v>
      </c>
      <c r="Z47" s="11">
        <f t="shared" si="1"/>
        <v>0.60317460317460314</v>
      </c>
      <c r="AA47" s="19">
        <f t="shared" si="2"/>
        <v>25000</v>
      </c>
    </row>
    <row r="48" spans="2:27" x14ac:dyDescent="0.45">
      <c r="B48" s="7">
        <v>1271</v>
      </c>
      <c r="C48" s="1" t="s">
        <v>4</v>
      </c>
      <c r="D48" s="1" t="s">
        <v>899</v>
      </c>
      <c r="E48" s="1" t="s">
        <v>909</v>
      </c>
      <c r="F48" s="1" t="s">
        <v>910</v>
      </c>
      <c r="G48" s="19">
        <v>7</v>
      </c>
      <c r="H48" s="19">
        <v>55</v>
      </c>
      <c r="I48" s="19">
        <v>38</v>
      </c>
      <c r="J48" s="19">
        <v>25</v>
      </c>
      <c r="K48" s="1" t="s">
        <v>416</v>
      </c>
      <c r="L48" s="2" t="s">
        <v>433</v>
      </c>
      <c r="M48" s="19">
        <v>1997</v>
      </c>
      <c r="N48" s="1" t="s">
        <v>434</v>
      </c>
      <c r="O48" s="19">
        <v>1329</v>
      </c>
      <c r="P48" s="1" t="s">
        <v>5</v>
      </c>
      <c r="Q48" s="19">
        <v>2</v>
      </c>
      <c r="R48" s="19">
        <v>1</v>
      </c>
      <c r="S48" s="19">
        <v>25</v>
      </c>
      <c r="T48" s="14">
        <v>69000</v>
      </c>
      <c r="U48" s="14">
        <v>63500</v>
      </c>
      <c r="V48" s="14">
        <v>39000</v>
      </c>
      <c r="W48" s="4">
        <f t="shared" si="0"/>
        <v>-7.9710144927536225E-2</v>
      </c>
      <c r="Z48" s="11">
        <f t="shared" si="1"/>
        <v>0.61417322834645671</v>
      </c>
      <c r="AA48" s="19">
        <f t="shared" si="2"/>
        <v>24500</v>
      </c>
    </row>
    <row r="49" spans="2:27" x14ac:dyDescent="0.45">
      <c r="B49" s="7">
        <v>793</v>
      </c>
      <c r="C49" s="5" t="s">
        <v>212</v>
      </c>
      <c r="D49" s="5" t="s">
        <v>753</v>
      </c>
      <c r="E49" s="1" t="s">
        <v>759</v>
      </c>
      <c r="F49" s="1" t="s">
        <v>760</v>
      </c>
      <c r="G49" s="19">
        <v>5</v>
      </c>
      <c r="H49" s="19">
        <v>50</v>
      </c>
      <c r="I49" s="19">
        <v>62</v>
      </c>
      <c r="J49" s="19">
        <v>45</v>
      </c>
      <c r="K49" s="5" t="s">
        <v>761</v>
      </c>
      <c r="L49" s="2" t="s">
        <v>433</v>
      </c>
      <c r="M49" s="18">
        <v>1990</v>
      </c>
      <c r="N49" s="1" t="s">
        <v>447</v>
      </c>
      <c r="O49" s="18">
        <v>808</v>
      </c>
      <c r="P49" s="5" t="s">
        <v>5</v>
      </c>
      <c r="Q49" s="18">
        <v>3</v>
      </c>
      <c r="R49" s="18">
        <v>1</v>
      </c>
      <c r="S49" s="18">
        <v>24</v>
      </c>
      <c r="T49" s="14">
        <v>77000</v>
      </c>
      <c r="U49" s="14">
        <v>64000</v>
      </c>
      <c r="V49" s="14">
        <v>31000</v>
      </c>
      <c r="W49" s="4">
        <f t="shared" si="0"/>
        <v>-0.16883116883116883</v>
      </c>
      <c r="Z49" s="11">
        <f t="shared" si="1"/>
        <v>0.484375</v>
      </c>
      <c r="AA49" s="19">
        <f t="shared" si="2"/>
        <v>33000</v>
      </c>
    </row>
    <row r="50" spans="2:27" x14ac:dyDescent="0.45">
      <c r="B50" s="7">
        <v>2201</v>
      </c>
      <c r="C50" s="1" t="s">
        <v>92</v>
      </c>
      <c r="D50" s="1" t="s">
        <v>1150</v>
      </c>
      <c r="E50" s="1" t="s">
        <v>1169</v>
      </c>
      <c r="F50" s="1" t="s">
        <v>1168</v>
      </c>
      <c r="G50" s="19">
        <v>12</v>
      </c>
      <c r="H50" s="19">
        <v>55</v>
      </c>
      <c r="I50" s="19">
        <v>30</v>
      </c>
      <c r="J50" s="19">
        <v>35</v>
      </c>
      <c r="K50" s="2" t="s">
        <v>281</v>
      </c>
      <c r="L50" s="2" t="s">
        <v>439</v>
      </c>
      <c r="M50" s="19">
        <v>2003</v>
      </c>
      <c r="N50" s="1" t="s">
        <v>447</v>
      </c>
      <c r="O50" s="19">
        <v>976</v>
      </c>
      <c r="P50" s="1" t="s">
        <v>18</v>
      </c>
      <c r="Q50" s="19">
        <v>3</v>
      </c>
      <c r="R50" s="19">
        <v>1</v>
      </c>
      <c r="S50" s="19">
        <v>24</v>
      </c>
      <c r="T50" s="14">
        <v>78000</v>
      </c>
      <c r="U50" s="14">
        <v>64000</v>
      </c>
      <c r="V50" s="14">
        <v>45000</v>
      </c>
      <c r="W50" s="4">
        <f t="shared" si="0"/>
        <v>-0.17948717948717949</v>
      </c>
      <c r="Z50" s="11">
        <f t="shared" si="1"/>
        <v>0.703125</v>
      </c>
      <c r="AA50" s="19">
        <f t="shared" si="2"/>
        <v>19000</v>
      </c>
    </row>
    <row r="51" spans="2:27" x14ac:dyDescent="0.45">
      <c r="B51" s="7">
        <v>2313</v>
      </c>
      <c r="C51" s="5" t="s">
        <v>179</v>
      </c>
      <c r="D51" s="5" t="s">
        <v>1204</v>
      </c>
      <c r="E51" s="1" t="s">
        <v>1210</v>
      </c>
      <c r="F51" s="1" t="s">
        <v>1211</v>
      </c>
      <c r="G51" s="19">
        <v>5</v>
      </c>
      <c r="H51" s="19">
        <v>55</v>
      </c>
      <c r="I51" s="19">
        <v>65</v>
      </c>
      <c r="J51" s="19">
        <v>50</v>
      </c>
      <c r="K51" s="5" t="s">
        <v>292</v>
      </c>
      <c r="L51" s="2" t="s">
        <v>433</v>
      </c>
      <c r="M51" s="18">
        <v>1996</v>
      </c>
      <c r="N51" s="1" t="s">
        <v>434</v>
      </c>
      <c r="O51" s="18">
        <v>1609</v>
      </c>
      <c r="P51" s="5" t="s">
        <v>5</v>
      </c>
      <c r="Q51" s="18">
        <v>2</v>
      </c>
      <c r="R51" s="18">
        <v>1</v>
      </c>
      <c r="S51" s="18">
        <v>24</v>
      </c>
      <c r="T51" s="14">
        <v>75500</v>
      </c>
      <c r="U51" s="14">
        <v>64000</v>
      </c>
      <c r="V51" s="14">
        <v>35000</v>
      </c>
      <c r="W51" s="4">
        <f t="shared" si="0"/>
        <v>-0.15231788079470199</v>
      </c>
      <c r="Z51" s="11">
        <f t="shared" si="1"/>
        <v>0.546875</v>
      </c>
      <c r="AA51" s="19">
        <f t="shared" si="2"/>
        <v>29000</v>
      </c>
    </row>
    <row r="52" spans="2:27" x14ac:dyDescent="0.45">
      <c r="B52" s="7">
        <v>310</v>
      </c>
      <c r="C52" s="1" t="s">
        <v>198</v>
      </c>
      <c r="D52" s="1" t="s">
        <v>541</v>
      </c>
      <c r="E52" s="1" t="s">
        <v>552</v>
      </c>
      <c r="F52" s="1" t="s">
        <v>551</v>
      </c>
      <c r="G52" s="19">
        <v>5</v>
      </c>
      <c r="H52" s="19">
        <v>48</v>
      </c>
      <c r="I52" s="19">
        <v>52</v>
      </c>
      <c r="J52" s="19">
        <v>36</v>
      </c>
      <c r="K52" s="1" t="s">
        <v>200</v>
      </c>
      <c r="L52" s="2" t="s">
        <v>439</v>
      </c>
      <c r="M52" s="19">
        <v>2003</v>
      </c>
      <c r="N52" s="1" t="s">
        <v>447</v>
      </c>
      <c r="O52" s="19">
        <v>860</v>
      </c>
      <c r="P52" s="5" t="s">
        <v>5</v>
      </c>
      <c r="Q52" s="18">
        <v>3</v>
      </c>
      <c r="R52" s="19">
        <v>1</v>
      </c>
      <c r="S52" s="18">
        <v>24</v>
      </c>
      <c r="T52" s="14">
        <v>77000</v>
      </c>
      <c r="U52" s="14">
        <v>65000</v>
      </c>
      <c r="V52" s="14">
        <v>37000</v>
      </c>
      <c r="W52" s="4">
        <f t="shared" si="0"/>
        <v>-0.15584415584415584</v>
      </c>
      <c r="Z52" s="11">
        <f t="shared" si="1"/>
        <v>0.56923076923076921</v>
      </c>
      <c r="AA52" s="19">
        <f t="shared" si="2"/>
        <v>28000</v>
      </c>
    </row>
    <row r="53" spans="2:27" x14ac:dyDescent="0.45">
      <c r="B53" s="7">
        <v>677</v>
      </c>
      <c r="C53" s="5" t="s">
        <v>35</v>
      </c>
      <c r="D53" s="1" t="s">
        <v>652</v>
      </c>
      <c r="E53" s="1" t="s">
        <v>653</v>
      </c>
      <c r="F53" s="1" t="s">
        <v>654</v>
      </c>
      <c r="G53" s="19">
        <v>3</v>
      </c>
      <c r="H53" s="19">
        <v>60</v>
      </c>
      <c r="I53" s="19">
        <v>45</v>
      </c>
      <c r="J53" s="19">
        <v>52</v>
      </c>
      <c r="K53" s="5" t="s">
        <v>414</v>
      </c>
      <c r="L53" s="2" t="s">
        <v>453</v>
      </c>
      <c r="M53" s="18">
        <v>2019</v>
      </c>
      <c r="N53" s="1" t="s">
        <v>434</v>
      </c>
      <c r="O53" s="18">
        <v>1170</v>
      </c>
      <c r="P53" s="5" t="s">
        <v>18</v>
      </c>
      <c r="Q53" s="18">
        <v>3</v>
      </c>
      <c r="R53" s="18">
        <v>2</v>
      </c>
      <c r="S53" s="18">
        <v>24</v>
      </c>
      <c r="T53" s="14">
        <v>82800</v>
      </c>
      <c r="U53" s="14">
        <v>65000</v>
      </c>
      <c r="V53" s="14">
        <v>50000</v>
      </c>
      <c r="W53" s="4">
        <f t="shared" si="0"/>
        <v>-0.21497584541062803</v>
      </c>
      <c r="Z53" s="11">
        <f t="shared" si="1"/>
        <v>0.76923076923076927</v>
      </c>
      <c r="AA53" s="19">
        <f t="shared" si="2"/>
        <v>15000</v>
      </c>
    </row>
    <row r="54" spans="2:27" x14ac:dyDescent="0.45">
      <c r="B54" s="7">
        <v>719</v>
      </c>
      <c r="C54" s="1" t="s">
        <v>37</v>
      </c>
      <c r="D54" s="1" t="s">
        <v>652</v>
      </c>
      <c r="E54" s="1" t="s">
        <v>690</v>
      </c>
      <c r="F54" s="1" t="s">
        <v>691</v>
      </c>
      <c r="G54" s="19">
        <v>6</v>
      </c>
      <c r="H54" s="19">
        <v>53</v>
      </c>
      <c r="I54" s="19">
        <v>33</v>
      </c>
      <c r="J54" s="19">
        <v>46</v>
      </c>
      <c r="K54" s="1" t="s">
        <v>692</v>
      </c>
      <c r="L54" s="2" t="s">
        <v>439</v>
      </c>
      <c r="M54" s="19">
        <v>2000</v>
      </c>
      <c r="N54" s="1" t="s">
        <v>434</v>
      </c>
      <c r="O54" s="19">
        <v>1371</v>
      </c>
      <c r="P54" s="5" t="s">
        <v>18</v>
      </c>
      <c r="Q54" s="18">
        <v>3</v>
      </c>
      <c r="R54" s="18">
        <v>2</v>
      </c>
      <c r="S54" s="18">
        <v>33</v>
      </c>
      <c r="T54" s="14">
        <v>78000</v>
      </c>
      <c r="U54" s="14">
        <v>65000</v>
      </c>
      <c r="V54" s="14">
        <v>43000</v>
      </c>
      <c r="W54" s="4">
        <f t="shared" si="0"/>
        <v>-0.16666666666666666</v>
      </c>
      <c r="Z54" s="11">
        <f t="shared" si="1"/>
        <v>0.66153846153846152</v>
      </c>
      <c r="AA54" s="19">
        <f t="shared" si="2"/>
        <v>22000</v>
      </c>
    </row>
    <row r="55" spans="2:27" x14ac:dyDescent="0.45">
      <c r="B55" s="7">
        <v>741</v>
      </c>
      <c r="C55" s="5" t="s">
        <v>242</v>
      </c>
      <c r="D55" s="5" t="s">
        <v>711</v>
      </c>
      <c r="E55" s="1" t="s">
        <v>716</v>
      </c>
      <c r="F55" s="1" t="s">
        <v>717</v>
      </c>
      <c r="G55" s="19">
        <v>3</v>
      </c>
      <c r="H55" s="19">
        <v>52</v>
      </c>
      <c r="I55" s="19">
        <v>62</v>
      </c>
      <c r="J55" s="19">
        <v>45</v>
      </c>
      <c r="K55" s="5" t="s">
        <v>386</v>
      </c>
      <c r="L55" s="2" t="s">
        <v>433</v>
      </c>
      <c r="M55" s="18">
        <v>1990</v>
      </c>
      <c r="N55" s="1" t="s">
        <v>434</v>
      </c>
      <c r="O55" s="18">
        <v>3481</v>
      </c>
      <c r="P55" s="5" t="s">
        <v>18</v>
      </c>
      <c r="Q55" s="18">
        <v>3</v>
      </c>
      <c r="R55" s="18">
        <v>1</v>
      </c>
      <c r="S55" s="18">
        <v>21</v>
      </c>
      <c r="T55" s="14">
        <v>66000</v>
      </c>
      <c r="U55" s="14">
        <v>65000</v>
      </c>
      <c r="V55" s="14">
        <v>28000</v>
      </c>
      <c r="W55" s="4">
        <f t="shared" si="0"/>
        <v>-1.5151515151515152E-2</v>
      </c>
      <c r="Z55" s="11">
        <f t="shared" si="1"/>
        <v>0.43076923076923079</v>
      </c>
      <c r="AA55" s="19">
        <f t="shared" si="2"/>
        <v>37000</v>
      </c>
    </row>
    <row r="56" spans="2:27" x14ac:dyDescent="0.45">
      <c r="B56" s="7">
        <v>773</v>
      </c>
      <c r="C56" s="5" t="s">
        <v>242</v>
      </c>
      <c r="D56" s="5" t="s">
        <v>711</v>
      </c>
      <c r="E56" s="1" t="s">
        <v>739</v>
      </c>
      <c r="F56" s="1" t="s">
        <v>736</v>
      </c>
      <c r="G56" s="19">
        <v>5</v>
      </c>
      <c r="H56" s="19">
        <v>50</v>
      </c>
      <c r="I56" s="19">
        <v>62</v>
      </c>
      <c r="J56" s="19">
        <v>42</v>
      </c>
      <c r="K56" s="5" t="s">
        <v>245</v>
      </c>
      <c r="L56" s="2" t="s">
        <v>433</v>
      </c>
      <c r="M56" s="18">
        <v>1987</v>
      </c>
      <c r="N56" s="1" t="s">
        <v>447</v>
      </c>
      <c r="O56" s="18">
        <v>840</v>
      </c>
      <c r="P56" s="5" t="s">
        <v>18</v>
      </c>
      <c r="Q56" s="18">
        <v>1</v>
      </c>
      <c r="R56" s="18">
        <v>1</v>
      </c>
      <c r="S56" s="18">
        <v>11</v>
      </c>
      <c r="T56" s="14">
        <v>80000</v>
      </c>
      <c r="U56" s="14">
        <v>65000</v>
      </c>
      <c r="V56" s="14">
        <v>10000</v>
      </c>
      <c r="W56" s="4">
        <f t="shared" si="0"/>
        <v>-0.1875</v>
      </c>
      <c r="Z56" s="11">
        <f t="shared" si="1"/>
        <v>0.15384615384615385</v>
      </c>
      <c r="AA56" s="19">
        <f t="shared" si="2"/>
        <v>55000</v>
      </c>
    </row>
    <row r="57" spans="2:27" x14ac:dyDescent="0.45">
      <c r="B57" s="7">
        <v>807</v>
      </c>
      <c r="C57" s="5" t="s">
        <v>310</v>
      </c>
      <c r="D57" s="5" t="s">
        <v>753</v>
      </c>
      <c r="E57" s="1" t="s">
        <v>772</v>
      </c>
      <c r="F57" s="1" t="s">
        <v>771</v>
      </c>
      <c r="G57" s="19">
        <v>5</v>
      </c>
      <c r="H57" s="19">
        <v>60</v>
      </c>
      <c r="I57" s="19">
        <v>72</v>
      </c>
      <c r="J57" s="19">
        <v>53</v>
      </c>
      <c r="K57" s="5" t="s">
        <v>311</v>
      </c>
      <c r="L57" s="2" t="s">
        <v>439</v>
      </c>
      <c r="M57" s="18">
        <v>2014</v>
      </c>
      <c r="N57" s="1" t="s">
        <v>440</v>
      </c>
      <c r="O57" s="18">
        <v>293</v>
      </c>
      <c r="P57" s="5" t="s">
        <v>18</v>
      </c>
      <c r="Q57" s="18">
        <v>3</v>
      </c>
      <c r="R57" s="18">
        <v>2</v>
      </c>
      <c r="S57" s="18">
        <v>24</v>
      </c>
      <c r="T57" s="14">
        <v>65000</v>
      </c>
      <c r="U57" s="14">
        <v>65000</v>
      </c>
      <c r="V57" s="14">
        <v>38000</v>
      </c>
      <c r="W57" s="4">
        <f t="shared" si="0"/>
        <v>0</v>
      </c>
      <c r="Z57" s="11">
        <f t="shared" si="1"/>
        <v>0.58461538461538465</v>
      </c>
      <c r="AA57" s="19">
        <f t="shared" si="2"/>
        <v>27000</v>
      </c>
    </row>
    <row r="58" spans="2:27" x14ac:dyDescent="0.45">
      <c r="B58" s="7">
        <v>1736</v>
      </c>
      <c r="C58" s="1" t="s">
        <v>1037</v>
      </c>
      <c r="D58" s="1" t="s">
        <v>1032</v>
      </c>
      <c r="E58" s="1" t="s">
        <v>1038</v>
      </c>
      <c r="F58" s="1" t="s">
        <v>1039</v>
      </c>
      <c r="G58" s="19">
        <v>3</v>
      </c>
      <c r="H58" s="19">
        <v>40</v>
      </c>
      <c r="I58" s="19">
        <v>38</v>
      </c>
      <c r="J58" s="19">
        <v>42</v>
      </c>
      <c r="K58" s="2" t="s">
        <v>408</v>
      </c>
      <c r="L58" s="2" t="s">
        <v>433</v>
      </c>
      <c r="M58" s="19">
        <v>1999</v>
      </c>
      <c r="N58" s="1" t="s">
        <v>440</v>
      </c>
      <c r="O58" s="19">
        <v>384</v>
      </c>
      <c r="P58" s="1" t="s">
        <v>5</v>
      </c>
      <c r="Q58" s="19">
        <v>1</v>
      </c>
      <c r="R58" s="19">
        <v>1</v>
      </c>
      <c r="S58" s="19">
        <v>18</v>
      </c>
      <c r="T58" s="14">
        <v>75000</v>
      </c>
      <c r="U58" s="14">
        <v>65000</v>
      </c>
      <c r="V58" s="14">
        <v>35000</v>
      </c>
      <c r="W58" s="4">
        <f t="shared" si="0"/>
        <v>-0.13333333333333333</v>
      </c>
      <c r="Z58" s="11">
        <f t="shared" si="1"/>
        <v>0.53846153846153844</v>
      </c>
      <c r="AA58" s="19">
        <f t="shared" si="2"/>
        <v>30000</v>
      </c>
    </row>
    <row r="59" spans="2:27" x14ac:dyDescent="0.45">
      <c r="B59" s="7">
        <v>2212</v>
      </c>
      <c r="C59" s="1" t="s">
        <v>92</v>
      </c>
      <c r="D59" s="1" t="s">
        <v>1150</v>
      </c>
      <c r="E59" s="1" t="s">
        <v>1171</v>
      </c>
      <c r="F59" s="1" t="s">
        <v>1168</v>
      </c>
      <c r="G59" s="19">
        <v>8</v>
      </c>
      <c r="H59" s="19">
        <v>52</v>
      </c>
      <c r="I59" s="19">
        <v>25</v>
      </c>
      <c r="J59" s="19">
        <v>30</v>
      </c>
      <c r="K59" s="2" t="s">
        <v>279</v>
      </c>
      <c r="L59" s="2" t="s">
        <v>453</v>
      </c>
      <c r="M59" s="19">
        <v>2021</v>
      </c>
      <c r="N59" s="1" t="s">
        <v>434</v>
      </c>
      <c r="O59" s="19">
        <v>1192</v>
      </c>
      <c r="P59" s="1" t="s">
        <v>18</v>
      </c>
      <c r="Q59" s="19">
        <v>1</v>
      </c>
      <c r="R59" s="19">
        <v>1</v>
      </c>
      <c r="S59" s="19">
        <v>18</v>
      </c>
      <c r="T59" s="14">
        <v>0</v>
      </c>
      <c r="U59" s="14">
        <v>65000</v>
      </c>
      <c r="V59" s="14">
        <v>37000</v>
      </c>
      <c r="W59" s="4" t="e">
        <f t="shared" si="0"/>
        <v>#DIV/0!</v>
      </c>
      <c r="Z59" s="11">
        <f t="shared" si="1"/>
        <v>0.56923076923076921</v>
      </c>
      <c r="AA59" s="19">
        <f t="shared" si="2"/>
        <v>28000</v>
      </c>
    </row>
    <row r="60" spans="2:27" x14ac:dyDescent="0.45">
      <c r="B60" s="7">
        <v>442</v>
      </c>
      <c r="C60" s="1" t="s">
        <v>554</v>
      </c>
      <c r="D60" s="1" t="s">
        <v>555</v>
      </c>
      <c r="E60" s="1" t="s">
        <v>575</v>
      </c>
      <c r="F60" s="1" t="s">
        <v>571</v>
      </c>
      <c r="G60" s="19">
        <v>3</v>
      </c>
      <c r="H60" s="19">
        <v>54</v>
      </c>
      <c r="I60" s="19">
        <v>27</v>
      </c>
      <c r="J60" s="19">
        <v>41</v>
      </c>
      <c r="K60" s="2" t="s">
        <v>215</v>
      </c>
      <c r="L60" s="2" t="s">
        <v>439</v>
      </c>
      <c r="M60" s="19">
        <v>2003</v>
      </c>
      <c r="N60" s="1" t="s">
        <v>440</v>
      </c>
      <c r="O60" s="19">
        <v>205</v>
      </c>
      <c r="P60" s="1" t="s">
        <v>18</v>
      </c>
      <c r="Q60" s="19">
        <v>3</v>
      </c>
      <c r="R60" s="19">
        <v>2</v>
      </c>
      <c r="S60" s="19">
        <v>25</v>
      </c>
      <c r="T60" s="14">
        <v>68000</v>
      </c>
      <c r="U60" s="14">
        <v>67000</v>
      </c>
      <c r="V60" s="14">
        <v>40000</v>
      </c>
      <c r="W60" s="4">
        <f t="shared" si="0"/>
        <v>-1.4705882352941176E-2</v>
      </c>
      <c r="Z60" s="11">
        <f t="shared" si="1"/>
        <v>0.59701492537313428</v>
      </c>
      <c r="AA60" s="19">
        <f t="shared" si="2"/>
        <v>27000</v>
      </c>
    </row>
    <row r="61" spans="2:27" x14ac:dyDescent="0.45">
      <c r="B61" s="7">
        <v>725</v>
      </c>
      <c r="C61" s="1" t="s">
        <v>33</v>
      </c>
      <c r="D61" s="1" t="s">
        <v>652</v>
      </c>
      <c r="E61" s="1" t="s">
        <v>697</v>
      </c>
      <c r="F61" s="1" t="s">
        <v>696</v>
      </c>
      <c r="G61" s="19">
        <v>5</v>
      </c>
      <c r="H61" s="19">
        <v>56</v>
      </c>
      <c r="I61" s="19">
        <v>36</v>
      </c>
      <c r="J61" s="19">
        <v>49</v>
      </c>
      <c r="K61" s="1" t="s">
        <v>34</v>
      </c>
      <c r="L61" s="2" t="s">
        <v>433</v>
      </c>
      <c r="M61" s="19">
        <v>1995</v>
      </c>
      <c r="N61" s="1" t="s">
        <v>447</v>
      </c>
      <c r="O61" s="19">
        <v>783</v>
      </c>
      <c r="P61" s="5" t="s">
        <v>18</v>
      </c>
      <c r="Q61" s="18">
        <v>3</v>
      </c>
      <c r="R61" s="19">
        <v>2</v>
      </c>
      <c r="S61" s="18">
        <v>33</v>
      </c>
      <c r="T61" s="14">
        <v>76000</v>
      </c>
      <c r="U61" s="14">
        <v>67000</v>
      </c>
      <c r="V61" s="14">
        <v>40000</v>
      </c>
      <c r="W61" s="4">
        <f t="shared" si="0"/>
        <v>-0.11842105263157894</v>
      </c>
      <c r="Z61" s="11">
        <f t="shared" si="1"/>
        <v>0.59701492537313428</v>
      </c>
      <c r="AA61" s="19">
        <f t="shared" si="2"/>
        <v>27000</v>
      </c>
    </row>
    <row r="62" spans="2:27" x14ac:dyDescent="0.45">
      <c r="B62" s="7">
        <v>742</v>
      </c>
      <c r="C62" s="5" t="s">
        <v>242</v>
      </c>
      <c r="D62" s="5" t="s">
        <v>711</v>
      </c>
      <c r="E62" s="1" t="s">
        <v>716</v>
      </c>
      <c r="F62" s="1" t="s">
        <v>717</v>
      </c>
      <c r="G62" s="19">
        <v>3</v>
      </c>
      <c r="H62" s="19">
        <v>52</v>
      </c>
      <c r="I62" s="19">
        <v>62</v>
      </c>
      <c r="J62" s="19">
        <v>45</v>
      </c>
      <c r="K62" s="5" t="s">
        <v>386</v>
      </c>
      <c r="L62" s="2" t="s">
        <v>433</v>
      </c>
      <c r="M62" s="18">
        <v>1990</v>
      </c>
      <c r="N62" s="1" t="s">
        <v>434</v>
      </c>
      <c r="O62" s="18">
        <v>3481</v>
      </c>
      <c r="P62" s="5" t="s">
        <v>18</v>
      </c>
      <c r="Q62" s="18">
        <v>2</v>
      </c>
      <c r="R62" s="18">
        <v>1</v>
      </c>
      <c r="S62" s="18">
        <v>24</v>
      </c>
      <c r="T62" s="14">
        <v>78000</v>
      </c>
      <c r="U62" s="14">
        <v>67000</v>
      </c>
      <c r="V62" s="14">
        <v>31000</v>
      </c>
      <c r="W62" s="4">
        <f t="shared" si="0"/>
        <v>-0.14102564102564102</v>
      </c>
      <c r="Z62" s="11">
        <f t="shared" si="1"/>
        <v>0.46268656716417911</v>
      </c>
      <c r="AA62" s="19">
        <f t="shared" si="2"/>
        <v>36000</v>
      </c>
    </row>
    <row r="63" spans="2:27" x14ac:dyDescent="0.45">
      <c r="B63" s="7">
        <v>743</v>
      </c>
      <c r="C63" s="5" t="s">
        <v>242</v>
      </c>
      <c r="D63" s="5" t="s">
        <v>711</v>
      </c>
      <c r="E63" s="1" t="s">
        <v>716</v>
      </c>
      <c r="F63" s="1" t="s">
        <v>717</v>
      </c>
      <c r="G63" s="19">
        <v>3</v>
      </c>
      <c r="H63" s="19">
        <v>52</v>
      </c>
      <c r="I63" s="19">
        <v>62</v>
      </c>
      <c r="J63" s="19">
        <v>45</v>
      </c>
      <c r="K63" s="5" t="s">
        <v>386</v>
      </c>
      <c r="L63" s="2" t="s">
        <v>433</v>
      </c>
      <c r="M63" s="18">
        <v>1990</v>
      </c>
      <c r="N63" s="1" t="s">
        <v>434</v>
      </c>
      <c r="O63" s="18">
        <v>3481</v>
      </c>
      <c r="P63" s="5" t="s">
        <v>5</v>
      </c>
      <c r="Q63" s="18">
        <v>2</v>
      </c>
      <c r="R63" s="18">
        <v>1</v>
      </c>
      <c r="S63" s="18">
        <v>24</v>
      </c>
      <c r="T63" s="14">
        <v>75000</v>
      </c>
      <c r="U63" s="14">
        <v>67000</v>
      </c>
      <c r="V63" s="14">
        <v>33000</v>
      </c>
      <c r="W63" s="4">
        <f t="shared" si="0"/>
        <v>-0.10666666666666667</v>
      </c>
      <c r="Z63" s="11">
        <f t="shared" si="1"/>
        <v>0.4925373134328358</v>
      </c>
      <c r="AA63" s="19">
        <f t="shared" si="2"/>
        <v>34000</v>
      </c>
    </row>
    <row r="64" spans="2:27" x14ac:dyDescent="0.45">
      <c r="B64" s="7">
        <v>297</v>
      </c>
      <c r="C64" s="1" t="s">
        <v>282</v>
      </c>
      <c r="D64" s="1" t="s">
        <v>541</v>
      </c>
      <c r="E64" s="1" t="s">
        <v>542</v>
      </c>
      <c r="F64" s="1" t="s">
        <v>543</v>
      </c>
      <c r="G64" s="19">
        <v>7</v>
      </c>
      <c r="H64" s="19">
        <v>55</v>
      </c>
      <c r="I64" s="19">
        <v>52</v>
      </c>
      <c r="J64" s="19">
        <v>40</v>
      </c>
      <c r="K64" s="1" t="s">
        <v>283</v>
      </c>
      <c r="L64" s="2" t="s">
        <v>433</v>
      </c>
      <c r="M64" s="19">
        <v>1993</v>
      </c>
      <c r="N64" s="1" t="s">
        <v>434</v>
      </c>
      <c r="O64" s="19">
        <v>1454</v>
      </c>
      <c r="P64" s="5" t="s">
        <v>18</v>
      </c>
      <c r="Q64" s="18">
        <v>3</v>
      </c>
      <c r="R64" s="19">
        <v>2</v>
      </c>
      <c r="S64" s="18">
        <v>33</v>
      </c>
      <c r="T64" s="14">
        <v>79000</v>
      </c>
      <c r="U64" s="14">
        <v>68000</v>
      </c>
      <c r="V64" s="14">
        <v>43000</v>
      </c>
      <c r="W64" s="4">
        <f t="shared" si="0"/>
        <v>-0.13924050632911392</v>
      </c>
      <c r="Z64" s="11">
        <f t="shared" si="1"/>
        <v>0.63235294117647056</v>
      </c>
      <c r="AA64" s="19">
        <f t="shared" si="2"/>
        <v>25000</v>
      </c>
    </row>
    <row r="65" spans="2:27" x14ac:dyDescent="0.45">
      <c r="B65" s="7">
        <v>299</v>
      </c>
      <c r="C65" s="1" t="s">
        <v>220</v>
      </c>
      <c r="D65" s="1" t="s">
        <v>541</v>
      </c>
      <c r="E65" s="1" t="s">
        <v>544</v>
      </c>
      <c r="F65" s="1" t="s">
        <v>545</v>
      </c>
      <c r="G65" s="19">
        <v>5</v>
      </c>
      <c r="H65" s="19">
        <v>58</v>
      </c>
      <c r="I65" s="19">
        <v>55</v>
      </c>
      <c r="J65" s="19">
        <v>42</v>
      </c>
      <c r="K65" s="1" t="s">
        <v>221</v>
      </c>
      <c r="L65" s="2" t="s">
        <v>433</v>
      </c>
      <c r="M65" s="19">
        <v>1991</v>
      </c>
      <c r="N65" s="1" t="s">
        <v>434</v>
      </c>
      <c r="O65" s="19">
        <v>1430</v>
      </c>
      <c r="P65" s="5" t="s">
        <v>5</v>
      </c>
      <c r="Q65" s="18">
        <v>3</v>
      </c>
      <c r="R65" s="19">
        <v>1</v>
      </c>
      <c r="S65" s="18">
        <v>30</v>
      </c>
      <c r="T65" s="14">
        <v>87300</v>
      </c>
      <c r="U65" s="14">
        <v>68000</v>
      </c>
      <c r="V65" s="14">
        <v>35000</v>
      </c>
      <c r="W65" s="4">
        <f t="shared" si="0"/>
        <v>-0.22107674684994272</v>
      </c>
      <c r="Z65" s="11">
        <f t="shared" si="1"/>
        <v>0.51470588235294112</v>
      </c>
      <c r="AA65" s="19">
        <f t="shared" si="2"/>
        <v>33000</v>
      </c>
    </row>
    <row r="66" spans="2:27" x14ac:dyDescent="0.45">
      <c r="B66" s="7">
        <v>420</v>
      </c>
      <c r="C66" s="1" t="s">
        <v>554</v>
      </c>
      <c r="D66" s="1" t="s">
        <v>555</v>
      </c>
      <c r="E66" s="1" t="s">
        <v>572</v>
      </c>
      <c r="F66" s="1" t="s">
        <v>569</v>
      </c>
      <c r="G66" s="19">
        <v>3</v>
      </c>
      <c r="H66" s="19">
        <v>58</v>
      </c>
      <c r="I66" s="19">
        <v>32</v>
      </c>
      <c r="J66" s="19">
        <v>45</v>
      </c>
      <c r="K66" s="2" t="s">
        <v>217</v>
      </c>
      <c r="L66" s="2" t="s">
        <v>433</v>
      </c>
      <c r="M66" s="19">
        <v>1994</v>
      </c>
      <c r="N66" s="1" t="s">
        <v>434</v>
      </c>
      <c r="O66" s="19">
        <v>1372</v>
      </c>
      <c r="P66" s="1" t="s">
        <v>5</v>
      </c>
      <c r="Q66" s="19">
        <v>3</v>
      </c>
      <c r="R66" s="19">
        <v>1</v>
      </c>
      <c r="S66" s="19">
        <v>20</v>
      </c>
      <c r="T66" s="14">
        <v>80000</v>
      </c>
      <c r="U66" s="14">
        <v>68000</v>
      </c>
      <c r="V66" s="14">
        <v>35000</v>
      </c>
      <c r="W66" s="4">
        <f t="shared" si="0"/>
        <v>-0.15</v>
      </c>
      <c r="Z66" s="11">
        <f t="shared" si="1"/>
        <v>0.51470588235294112</v>
      </c>
      <c r="AA66" s="19">
        <f t="shared" si="2"/>
        <v>33000</v>
      </c>
    </row>
    <row r="67" spans="2:27" x14ac:dyDescent="0.45">
      <c r="B67" s="7">
        <v>680</v>
      </c>
      <c r="C67" s="5" t="s">
        <v>35</v>
      </c>
      <c r="D67" s="1" t="s">
        <v>652</v>
      </c>
      <c r="E67" s="1" t="s">
        <v>655</v>
      </c>
      <c r="F67" s="1" t="s">
        <v>654</v>
      </c>
      <c r="G67" s="19">
        <v>6</v>
      </c>
      <c r="H67" s="19">
        <v>58</v>
      </c>
      <c r="I67" s="19">
        <v>43</v>
      </c>
      <c r="J67" s="19">
        <v>50</v>
      </c>
      <c r="K67" s="5" t="s">
        <v>413</v>
      </c>
      <c r="L67" s="2" t="s">
        <v>439</v>
      </c>
      <c r="M67" s="18">
        <v>2004</v>
      </c>
      <c r="N67" s="1" t="s">
        <v>440</v>
      </c>
      <c r="O67" s="18">
        <v>245</v>
      </c>
      <c r="P67" s="5" t="s">
        <v>18</v>
      </c>
      <c r="Q67" s="18">
        <v>3</v>
      </c>
      <c r="R67" s="18">
        <v>2</v>
      </c>
      <c r="S67" s="18">
        <v>33</v>
      </c>
      <c r="T67" s="14">
        <v>75000</v>
      </c>
      <c r="U67" s="14">
        <v>68000</v>
      </c>
      <c r="V67" s="14">
        <v>40000</v>
      </c>
      <c r="W67" s="4">
        <f t="shared" si="0"/>
        <v>-9.3333333333333338E-2</v>
      </c>
      <c r="Z67" s="11">
        <f t="shared" si="1"/>
        <v>0.58823529411764708</v>
      </c>
      <c r="AA67" s="19">
        <f t="shared" si="2"/>
        <v>28000</v>
      </c>
    </row>
    <row r="68" spans="2:27" x14ac:dyDescent="0.45">
      <c r="B68" s="7">
        <v>682</v>
      </c>
      <c r="C68" s="5" t="s">
        <v>33</v>
      </c>
      <c r="D68" s="1" t="s">
        <v>652</v>
      </c>
      <c r="E68" s="1" t="s">
        <v>658</v>
      </c>
      <c r="F68" s="1" t="s">
        <v>659</v>
      </c>
      <c r="G68" s="19">
        <v>5</v>
      </c>
      <c r="H68" s="19">
        <v>55</v>
      </c>
      <c r="I68" s="19">
        <v>40</v>
      </c>
      <c r="J68" s="19">
        <v>45</v>
      </c>
      <c r="K68" s="5" t="s">
        <v>332</v>
      </c>
      <c r="L68" s="2" t="s">
        <v>439</v>
      </c>
      <c r="M68" s="18">
        <v>2010</v>
      </c>
      <c r="N68" s="1" t="s">
        <v>447</v>
      </c>
      <c r="O68" s="18">
        <v>999</v>
      </c>
      <c r="P68" s="5" t="s">
        <v>18</v>
      </c>
      <c r="Q68" s="18">
        <v>3</v>
      </c>
      <c r="R68" s="18">
        <v>2</v>
      </c>
      <c r="S68" s="18">
        <v>24</v>
      </c>
      <c r="T68" s="14">
        <v>84500</v>
      </c>
      <c r="U68" s="14">
        <v>68000</v>
      </c>
      <c r="V68" s="14">
        <v>45000</v>
      </c>
      <c r="W68" s="4">
        <f t="shared" si="0"/>
        <v>-0.19526627218934911</v>
      </c>
      <c r="Z68" s="11">
        <f t="shared" si="1"/>
        <v>0.66176470588235292</v>
      </c>
      <c r="AA68" s="19">
        <f t="shared" si="2"/>
        <v>23000</v>
      </c>
    </row>
    <row r="69" spans="2:27" x14ac:dyDescent="0.45">
      <c r="B69" s="7">
        <v>686</v>
      </c>
      <c r="C69" s="5" t="s">
        <v>33</v>
      </c>
      <c r="D69" s="1" t="s">
        <v>652</v>
      </c>
      <c r="E69" s="1" t="s">
        <v>662</v>
      </c>
      <c r="F69" s="1" t="s">
        <v>663</v>
      </c>
      <c r="G69" s="19">
        <v>6</v>
      </c>
      <c r="H69" s="19">
        <v>55</v>
      </c>
      <c r="I69" s="19">
        <v>38</v>
      </c>
      <c r="J69" s="19">
        <v>45</v>
      </c>
      <c r="K69" s="5" t="s">
        <v>329</v>
      </c>
      <c r="L69" s="2" t="s">
        <v>439</v>
      </c>
      <c r="M69" s="18">
        <v>2004</v>
      </c>
      <c r="N69" s="1" t="s">
        <v>440</v>
      </c>
      <c r="O69" s="18">
        <v>378</v>
      </c>
      <c r="P69" s="5" t="s">
        <v>18</v>
      </c>
      <c r="Q69" s="18">
        <v>3</v>
      </c>
      <c r="R69" s="18">
        <v>2</v>
      </c>
      <c r="S69" s="18">
        <v>24</v>
      </c>
      <c r="T69" s="14">
        <v>75500</v>
      </c>
      <c r="U69" s="14">
        <v>68000</v>
      </c>
      <c r="V69" s="14">
        <v>42000</v>
      </c>
      <c r="W69" s="4">
        <f t="shared" si="0"/>
        <v>-9.9337748344370855E-2</v>
      </c>
      <c r="Z69" s="11">
        <f t="shared" si="1"/>
        <v>0.61764705882352944</v>
      </c>
      <c r="AA69" s="19">
        <f t="shared" si="2"/>
        <v>26000</v>
      </c>
    </row>
    <row r="70" spans="2:27" x14ac:dyDescent="0.45">
      <c r="B70" s="7">
        <v>509</v>
      </c>
      <c r="C70" s="1" t="s">
        <v>26</v>
      </c>
      <c r="D70" s="1" t="s">
        <v>555</v>
      </c>
      <c r="E70" s="1" t="s">
        <v>591</v>
      </c>
      <c r="F70" s="1" t="s">
        <v>590</v>
      </c>
      <c r="G70" s="19">
        <v>5</v>
      </c>
      <c r="H70" s="19">
        <v>45</v>
      </c>
      <c r="I70" s="19">
        <v>21</v>
      </c>
      <c r="J70" s="19">
        <v>34</v>
      </c>
      <c r="K70" s="2" t="s">
        <v>131</v>
      </c>
      <c r="L70" s="2" t="s">
        <v>433</v>
      </c>
      <c r="M70" s="19">
        <v>1995</v>
      </c>
      <c r="N70" s="1" t="s">
        <v>434</v>
      </c>
      <c r="O70" s="19">
        <v>1016</v>
      </c>
      <c r="P70" s="1" t="s">
        <v>5</v>
      </c>
      <c r="Q70" s="19">
        <v>2</v>
      </c>
      <c r="R70" s="19">
        <v>1</v>
      </c>
      <c r="S70" s="19">
        <v>16</v>
      </c>
      <c r="T70" s="14">
        <v>65000</v>
      </c>
      <c r="U70" s="14">
        <v>69000</v>
      </c>
      <c r="V70" s="14">
        <v>30000</v>
      </c>
      <c r="W70" s="4">
        <f t="shared" ref="W70:W133" si="3">(U70-$T70)/$T70</f>
        <v>6.1538461538461542E-2</v>
      </c>
      <c r="Z70" s="11">
        <f t="shared" ref="Z70:Z133" si="4">V70/U70</f>
        <v>0.43478260869565216</v>
      </c>
      <c r="AA70" s="19">
        <f t="shared" ref="AA70:AA133" si="5">U70-V70</f>
        <v>39000</v>
      </c>
    </row>
    <row r="71" spans="2:27" x14ac:dyDescent="0.45">
      <c r="B71" s="7">
        <v>598</v>
      </c>
      <c r="C71" s="1" t="s">
        <v>618</v>
      </c>
      <c r="D71" s="1" t="s">
        <v>607</v>
      </c>
      <c r="E71" s="1" t="s">
        <v>619</v>
      </c>
      <c r="F71" s="1" t="s">
        <v>620</v>
      </c>
      <c r="G71" s="19">
        <v>4</v>
      </c>
      <c r="H71" s="19">
        <v>45</v>
      </c>
      <c r="I71" s="19">
        <v>35</v>
      </c>
      <c r="J71" s="19">
        <v>50</v>
      </c>
      <c r="K71" s="1" t="s">
        <v>60</v>
      </c>
      <c r="L71" s="2" t="s">
        <v>439</v>
      </c>
      <c r="M71" s="19">
        <v>2008</v>
      </c>
      <c r="N71" s="1" t="s">
        <v>434</v>
      </c>
      <c r="O71" s="19">
        <v>2265</v>
      </c>
      <c r="P71" s="1" t="s">
        <v>18</v>
      </c>
      <c r="Q71" s="19">
        <v>3</v>
      </c>
      <c r="R71" s="19">
        <v>2</v>
      </c>
      <c r="S71" s="19">
        <v>33</v>
      </c>
      <c r="T71" s="14">
        <v>87000</v>
      </c>
      <c r="U71" s="14">
        <v>69000</v>
      </c>
      <c r="V71" s="14">
        <v>44000</v>
      </c>
      <c r="W71" s="4">
        <f t="shared" si="3"/>
        <v>-0.20689655172413793</v>
      </c>
      <c r="Z71" s="11">
        <f t="shared" si="4"/>
        <v>0.6376811594202898</v>
      </c>
      <c r="AA71" s="19">
        <f t="shared" si="5"/>
        <v>25000</v>
      </c>
    </row>
    <row r="72" spans="2:27" x14ac:dyDescent="0.45">
      <c r="B72" s="7">
        <v>812</v>
      </c>
      <c r="C72" s="5" t="s">
        <v>212</v>
      </c>
      <c r="D72" s="5" t="s">
        <v>753</v>
      </c>
      <c r="E72" s="1" t="s">
        <v>775</v>
      </c>
      <c r="F72" s="1" t="s">
        <v>776</v>
      </c>
      <c r="G72" s="19">
        <v>3</v>
      </c>
      <c r="H72" s="19">
        <v>60</v>
      </c>
      <c r="I72" s="19">
        <v>70</v>
      </c>
      <c r="J72" s="19">
        <v>53</v>
      </c>
      <c r="K72" s="5" t="s">
        <v>213</v>
      </c>
      <c r="L72" s="2" t="s">
        <v>439</v>
      </c>
      <c r="M72" s="18">
        <v>2001</v>
      </c>
      <c r="N72" s="1" t="s">
        <v>434</v>
      </c>
      <c r="O72" s="18">
        <v>1278</v>
      </c>
      <c r="P72" s="5" t="s">
        <v>18</v>
      </c>
      <c r="Q72" s="18">
        <v>3</v>
      </c>
      <c r="R72" s="18">
        <v>2</v>
      </c>
      <c r="S72" s="18">
        <v>24</v>
      </c>
      <c r="T72" s="14">
        <v>84700</v>
      </c>
      <c r="U72" s="14">
        <v>69000</v>
      </c>
      <c r="V72" s="14">
        <v>42000</v>
      </c>
      <c r="W72" s="4">
        <f t="shared" si="3"/>
        <v>-0.18536009445100354</v>
      </c>
      <c r="Z72" s="11">
        <f t="shared" si="4"/>
        <v>0.60869565217391308</v>
      </c>
      <c r="AA72" s="19">
        <f t="shared" si="5"/>
        <v>27000</v>
      </c>
    </row>
    <row r="73" spans="2:27" x14ac:dyDescent="0.45">
      <c r="B73" s="7">
        <v>1591</v>
      </c>
      <c r="C73" s="1" t="s">
        <v>13</v>
      </c>
      <c r="D73" s="1" t="s">
        <v>998</v>
      </c>
      <c r="E73" s="1" t="s">
        <v>999</v>
      </c>
      <c r="F73" s="1" t="s">
        <v>1000</v>
      </c>
      <c r="G73" s="19" t="s">
        <v>1248</v>
      </c>
      <c r="H73" s="19">
        <v>45</v>
      </c>
      <c r="I73" s="19">
        <v>35</v>
      </c>
      <c r="J73" s="19">
        <v>22</v>
      </c>
      <c r="K73" s="6" t="s">
        <v>412</v>
      </c>
      <c r="L73" s="2" t="s">
        <v>433</v>
      </c>
      <c r="M73" s="19">
        <v>1998</v>
      </c>
      <c r="N73" s="1" t="s">
        <v>434</v>
      </c>
      <c r="O73" s="19">
        <v>4509</v>
      </c>
      <c r="P73" s="1" t="s">
        <v>5</v>
      </c>
      <c r="Q73" s="19">
        <v>2</v>
      </c>
      <c r="R73" s="19">
        <v>1</v>
      </c>
      <c r="S73" s="19">
        <v>25</v>
      </c>
      <c r="T73" s="14">
        <v>74000</v>
      </c>
      <c r="U73" s="14">
        <v>69000</v>
      </c>
      <c r="V73" s="14">
        <v>38000</v>
      </c>
      <c r="W73" s="4">
        <f t="shared" si="3"/>
        <v>-6.7567567567567571E-2</v>
      </c>
      <c r="Z73" s="11">
        <f t="shared" si="4"/>
        <v>0.55072463768115942</v>
      </c>
      <c r="AA73" s="19">
        <f t="shared" si="5"/>
        <v>31000</v>
      </c>
    </row>
    <row r="74" spans="2:27" x14ac:dyDescent="0.45">
      <c r="B74" s="7">
        <v>300</v>
      </c>
      <c r="C74" s="1" t="s">
        <v>220</v>
      </c>
      <c r="D74" s="1" t="s">
        <v>541</v>
      </c>
      <c r="E74" s="1" t="s">
        <v>544</v>
      </c>
      <c r="F74" s="1" t="s">
        <v>545</v>
      </c>
      <c r="G74" s="19">
        <v>5</v>
      </c>
      <c r="H74" s="19">
        <v>58</v>
      </c>
      <c r="I74" s="19">
        <v>55</v>
      </c>
      <c r="J74" s="19">
        <v>42</v>
      </c>
      <c r="K74" s="1" t="s">
        <v>221</v>
      </c>
      <c r="L74" s="2" t="s">
        <v>433</v>
      </c>
      <c r="M74" s="19">
        <v>1991</v>
      </c>
      <c r="N74" s="1" t="s">
        <v>434</v>
      </c>
      <c r="O74" s="19">
        <v>1430</v>
      </c>
      <c r="P74" s="5" t="s">
        <v>18</v>
      </c>
      <c r="Q74" s="18">
        <v>3</v>
      </c>
      <c r="R74" s="19">
        <v>1</v>
      </c>
      <c r="S74" s="18">
        <v>31</v>
      </c>
      <c r="T74" s="14">
        <v>82000</v>
      </c>
      <c r="U74" s="14">
        <v>70000</v>
      </c>
      <c r="V74" s="14">
        <v>32000</v>
      </c>
      <c r="W74" s="4">
        <f t="shared" si="3"/>
        <v>-0.14634146341463414</v>
      </c>
      <c r="Z74" s="11">
        <f t="shared" si="4"/>
        <v>0.45714285714285713</v>
      </c>
      <c r="AA74" s="19">
        <f t="shared" si="5"/>
        <v>38000</v>
      </c>
    </row>
    <row r="75" spans="2:27" x14ac:dyDescent="0.45">
      <c r="B75" s="7">
        <v>313</v>
      </c>
      <c r="C75" s="1" t="s">
        <v>198</v>
      </c>
      <c r="D75" s="1" t="s">
        <v>541</v>
      </c>
      <c r="E75" s="1" t="s">
        <v>553</v>
      </c>
      <c r="F75" s="1" t="s">
        <v>548</v>
      </c>
      <c r="G75" s="19">
        <v>5</v>
      </c>
      <c r="H75" s="19">
        <v>52</v>
      </c>
      <c r="I75" s="19">
        <v>55</v>
      </c>
      <c r="J75" s="19">
        <v>40</v>
      </c>
      <c r="K75" s="1" t="s">
        <v>199</v>
      </c>
      <c r="L75" s="2" t="s">
        <v>439</v>
      </c>
      <c r="M75" s="19">
        <v>2004</v>
      </c>
      <c r="N75" s="1" t="s">
        <v>434</v>
      </c>
      <c r="O75" s="19">
        <v>3830</v>
      </c>
      <c r="P75" s="5" t="s">
        <v>18</v>
      </c>
      <c r="Q75" s="18">
        <v>3</v>
      </c>
      <c r="R75" s="18">
        <v>2</v>
      </c>
      <c r="S75" s="18">
        <v>33</v>
      </c>
      <c r="T75" s="14">
        <v>87000</v>
      </c>
      <c r="U75" s="14">
        <v>70000</v>
      </c>
      <c r="V75" s="14">
        <v>45000</v>
      </c>
      <c r="W75" s="4">
        <f t="shared" si="3"/>
        <v>-0.19540229885057472</v>
      </c>
      <c r="Z75" s="11">
        <f t="shared" si="4"/>
        <v>0.6428571428571429</v>
      </c>
      <c r="AA75" s="19">
        <f t="shared" si="5"/>
        <v>25000</v>
      </c>
    </row>
    <row r="76" spans="2:27" x14ac:dyDescent="0.45">
      <c r="B76" s="7">
        <v>443</v>
      </c>
      <c r="C76" s="1" t="s">
        <v>554</v>
      </c>
      <c r="D76" s="1" t="s">
        <v>555</v>
      </c>
      <c r="E76" s="1" t="s">
        <v>575</v>
      </c>
      <c r="F76" s="1" t="s">
        <v>571</v>
      </c>
      <c r="G76" s="19">
        <v>3</v>
      </c>
      <c r="H76" s="19">
        <v>54</v>
      </c>
      <c r="I76" s="19">
        <v>27</v>
      </c>
      <c r="J76" s="19">
        <v>41</v>
      </c>
      <c r="K76" s="2" t="s">
        <v>215</v>
      </c>
      <c r="L76" s="2" t="s">
        <v>439</v>
      </c>
      <c r="M76" s="19">
        <v>2003</v>
      </c>
      <c r="N76" s="1" t="s">
        <v>440</v>
      </c>
      <c r="O76" s="19">
        <v>205</v>
      </c>
      <c r="P76" s="1" t="s">
        <v>18</v>
      </c>
      <c r="Q76" s="19">
        <v>3</v>
      </c>
      <c r="R76" s="19">
        <v>2</v>
      </c>
      <c r="S76" s="19">
        <v>29</v>
      </c>
      <c r="T76" s="14">
        <v>69000</v>
      </c>
      <c r="U76" s="14">
        <v>70000</v>
      </c>
      <c r="V76" s="14">
        <v>42000</v>
      </c>
      <c r="W76" s="4">
        <f t="shared" si="3"/>
        <v>1.4492753623188406E-2</v>
      </c>
      <c r="Z76" s="11">
        <f t="shared" si="4"/>
        <v>0.6</v>
      </c>
      <c r="AA76" s="19">
        <f t="shared" si="5"/>
        <v>28000</v>
      </c>
    </row>
    <row r="77" spans="2:27" x14ac:dyDescent="0.45">
      <c r="B77" s="7">
        <v>506</v>
      </c>
      <c r="C77" s="1" t="s">
        <v>26</v>
      </c>
      <c r="D77" s="1" t="s">
        <v>555</v>
      </c>
      <c r="E77" s="1" t="s">
        <v>589</v>
      </c>
      <c r="F77" s="1" t="s">
        <v>590</v>
      </c>
      <c r="G77" s="19">
        <v>4</v>
      </c>
      <c r="H77" s="19">
        <v>46</v>
      </c>
      <c r="I77" s="19">
        <v>22</v>
      </c>
      <c r="J77" s="19">
        <v>35</v>
      </c>
      <c r="K77" s="2" t="s">
        <v>132</v>
      </c>
      <c r="L77" s="2" t="s">
        <v>433</v>
      </c>
      <c r="M77" s="19">
        <v>1994</v>
      </c>
      <c r="N77" s="1" t="s">
        <v>440</v>
      </c>
      <c r="O77" s="19">
        <v>445</v>
      </c>
      <c r="P77" s="1" t="s">
        <v>5</v>
      </c>
      <c r="Q77" s="19">
        <v>2</v>
      </c>
      <c r="R77" s="19">
        <v>1</v>
      </c>
      <c r="S77" s="19">
        <v>17</v>
      </c>
      <c r="T77" s="14">
        <v>72000</v>
      </c>
      <c r="U77" s="14">
        <v>70000</v>
      </c>
      <c r="V77" s="14">
        <v>26000</v>
      </c>
      <c r="W77" s="4">
        <f t="shared" si="3"/>
        <v>-2.7777777777777776E-2</v>
      </c>
      <c r="Z77" s="11">
        <f t="shared" si="4"/>
        <v>0.37142857142857144</v>
      </c>
      <c r="AA77" s="19">
        <f t="shared" si="5"/>
        <v>44000</v>
      </c>
    </row>
    <row r="78" spans="2:27" x14ac:dyDescent="0.45">
      <c r="B78" s="7">
        <v>684</v>
      </c>
      <c r="C78" s="5" t="s">
        <v>33</v>
      </c>
      <c r="D78" s="1" t="s">
        <v>652</v>
      </c>
      <c r="E78" s="1" t="s">
        <v>660</v>
      </c>
      <c r="F78" s="1" t="s">
        <v>661</v>
      </c>
      <c r="G78" s="19">
        <v>7</v>
      </c>
      <c r="H78" s="19">
        <v>58</v>
      </c>
      <c r="I78" s="19">
        <v>43</v>
      </c>
      <c r="J78" s="19">
        <v>50</v>
      </c>
      <c r="K78" s="5" t="s">
        <v>330</v>
      </c>
      <c r="L78" s="2" t="s">
        <v>439</v>
      </c>
      <c r="M78" s="18">
        <v>2003</v>
      </c>
      <c r="N78" s="1" t="s">
        <v>447</v>
      </c>
      <c r="O78" s="18">
        <v>620</v>
      </c>
      <c r="P78" s="5" t="s">
        <v>18</v>
      </c>
      <c r="Q78" s="18">
        <v>3</v>
      </c>
      <c r="R78" s="18">
        <v>2</v>
      </c>
      <c r="S78" s="18">
        <v>24</v>
      </c>
      <c r="T78" s="14">
        <v>76900</v>
      </c>
      <c r="U78" s="14">
        <v>70000</v>
      </c>
      <c r="V78" s="14">
        <v>40000</v>
      </c>
      <c r="W78" s="4">
        <f t="shared" si="3"/>
        <v>-8.9726918075422629E-2</v>
      </c>
      <c r="Z78" s="11">
        <f t="shared" si="4"/>
        <v>0.5714285714285714</v>
      </c>
      <c r="AA78" s="19">
        <f t="shared" si="5"/>
        <v>30000</v>
      </c>
    </row>
    <row r="79" spans="2:27" x14ac:dyDescent="0.45">
      <c r="B79" s="7">
        <v>711</v>
      </c>
      <c r="C79" s="1" t="s">
        <v>33</v>
      </c>
      <c r="D79" s="1" t="s">
        <v>652</v>
      </c>
      <c r="E79" s="1" t="s">
        <v>682</v>
      </c>
      <c r="F79" s="1" t="s">
        <v>681</v>
      </c>
      <c r="G79" s="19">
        <v>7</v>
      </c>
      <c r="H79" s="19">
        <v>54</v>
      </c>
      <c r="I79" s="19">
        <v>34</v>
      </c>
      <c r="J79" s="19">
        <v>47</v>
      </c>
      <c r="K79" s="1" t="s">
        <v>51</v>
      </c>
      <c r="L79" s="2" t="s">
        <v>439</v>
      </c>
      <c r="M79" s="19">
        <v>2005</v>
      </c>
      <c r="N79" s="1" t="s">
        <v>440</v>
      </c>
      <c r="O79" s="19">
        <v>390</v>
      </c>
      <c r="P79" s="5" t="s">
        <v>18</v>
      </c>
      <c r="Q79" s="18">
        <v>3</v>
      </c>
      <c r="R79" s="19">
        <v>2</v>
      </c>
      <c r="S79" s="18">
        <v>33</v>
      </c>
      <c r="T79" s="14">
        <v>78800</v>
      </c>
      <c r="U79" s="14">
        <v>70000</v>
      </c>
      <c r="V79" s="14">
        <v>43000</v>
      </c>
      <c r="W79" s="4">
        <f t="shared" si="3"/>
        <v>-0.1116751269035533</v>
      </c>
      <c r="Z79" s="11">
        <f t="shared" si="4"/>
        <v>0.61428571428571432</v>
      </c>
      <c r="AA79" s="19">
        <f t="shared" si="5"/>
        <v>27000</v>
      </c>
    </row>
    <row r="80" spans="2:27" x14ac:dyDescent="0.45">
      <c r="B80" s="7">
        <v>734</v>
      </c>
      <c r="C80" s="5" t="s">
        <v>708</v>
      </c>
      <c r="D80" s="5" t="s">
        <v>698</v>
      </c>
      <c r="E80" s="1" t="s">
        <v>709</v>
      </c>
      <c r="F80" s="1" t="s">
        <v>710</v>
      </c>
      <c r="G80" s="19">
        <v>5</v>
      </c>
      <c r="H80" s="19">
        <v>46</v>
      </c>
      <c r="I80" s="19">
        <v>30</v>
      </c>
      <c r="J80" s="19">
        <v>42</v>
      </c>
      <c r="K80" s="5" t="s">
        <v>121</v>
      </c>
      <c r="L80" s="2" t="s">
        <v>433</v>
      </c>
      <c r="M80" s="18">
        <v>1990</v>
      </c>
      <c r="N80" s="1" t="s">
        <v>447</v>
      </c>
      <c r="O80" s="18">
        <v>840</v>
      </c>
      <c r="P80" s="5" t="s">
        <v>18</v>
      </c>
      <c r="Q80" s="18">
        <v>3</v>
      </c>
      <c r="R80" s="18">
        <v>1</v>
      </c>
      <c r="S80" s="18">
        <v>33</v>
      </c>
      <c r="T80" s="14">
        <v>76000</v>
      </c>
      <c r="U80" s="14">
        <v>70000</v>
      </c>
      <c r="V80" s="14">
        <v>38000</v>
      </c>
      <c r="W80" s="4">
        <f t="shared" si="3"/>
        <v>-7.8947368421052627E-2</v>
      </c>
      <c r="Z80" s="11">
        <f t="shared" si="4"/>
        <v>0.54285714285714282</v>
      </c>
      <c r="AA80" s="19">
        <f t="shared" si="5"/>
        <v>32000</v>
      </c>
    </row>
    <row r="81" spans="2:27" x14ac:dyDescent="0.45">
      <c r="B81" s="7">
        <v>744</v>
      </c>
      <c r="C81" s="5" t="s">
        <v>242</v>
      </c>
      <c r="D81" s="5" t="s">
        <v>711</v>
      </c>
      <c r="E81" s="1" t="s">
        <v>718</v>
      </c>
      <c r="F81" s="1" t="s">
        <v>717</v>
      </c>
      <c r="G81" s="19">
        <v>5</v>
      </c>
      <c r="H81" s="19">
        <v>55</v>
      </c>
      <c r="I81" s="19">
        <v>65</v>
      </c>
      <c r="J81" s="19">
        <v>48</v>
      </c>
      <c r="K81" s="5" t="s">
        <v>719</v>
      </c>
      <c r="L81" s="2" t="s">
        <v>439</v>
      </c>
      <c r="M81" s="18">
        <v>2005</v>
      </c>
      <c r="N81" s="1" t="s">
        <v>440</v>
      </c>
      <c r="O81" s="18">
        <v>448</v>
      </c>
      <c r="P81" s="5" t="s">
        <v>18</v>
      </c>
      <c r="Q81" s="18">
        <v>3</v>
      </c>
      <c r="R81" s="18">
        <v>1</v>
      </c>
      <c r="S81" s="18">
        <v>24</v>
      </c>
      <c r="T81" s="14">
        <v>70500</v>
      </c>
      <c r="U81" s="14">
        <v>70000</v>
      </c>
      <c r="V81" s="14">
        <v>43000</v>
      </c>
      <c r="W81" s="4">
        <f t="shared" si="3"/>
        <v>-7.0921985815602835E-3</v>
      </c>
      <c r="Z81" s="11">
        <f t="shared" si="4"/>
        <v>0.61428571428571432</v>
      </c>
      <c r="AA81" s="19">
        <f t="shared" si="5"/>
        <v>27000</v>
      </c>
    </row>
    <row r="82" spans="2:27" x14ac:dyDescent="0.45">
      <c r="B82" s="7">
        <v>777</v>
      </c>
      <c r="C82" s="5" t="s">
        <v>726</v>
      </c>
      <c r="D82" s="5" t="s">
        <v>711</v>
      </c>
      <c r="E82" s="1" t="s">
        <v>740</v>
      </c>
      <c r="F82" s="1" t="s">
        <v>741</v>
      </c>
      <c r="G82" s="19">
        <v>4</v>
      </c>
      <c r="H82" s="19">
        <v>55</v>
      </c>
      <c r="I82" s="19">
        <v>67</v>
      </c>
      <c r="J82" s="19">
        <v>47</v>
      </c>
      <c r="K82" s="5" t="s">
        <v>244</v>
      </c>
      <c r="L82" s="2" t="s">
        <v>433</v>
      </c>
      <c r="M82" s="18">
        <v>1988</v>
      </c>
      <c r="N82" s="1" t="s">
        <v>434</v>
      </c>
      <c r="O82" s="18">
        <v>1739</v>
      </c>
      <c r="P82" s="5" t="s">
        <v>5</v>
      </c>
      <c r="Q82" s="18">
        <v>3</v>
      </c>
      <c r="R82" s="18">
        <v>1</v>
      </c>
      <c r="S82" s="18">
        <v>28</v>
      </c>
      <c r="T82" s="14">
        <v>84000</v>
      </c>
      <c r="U82" s="14">
        <v>70000</v>
      </c>
      <c r="V82" s="14">
        <v>35000</v>
      </c>
      <c r="W82" s="4">
        <f t="shared" si="3"/>
        <v>-0.16666666666666666</v>
      </c>
      <c r="Z82" s="11">
        <f t="shared" si="4"/>
        <v>0.5</v>
      </c>
      <c r="AA82" s="19">
        <f t="shared" si="5"/>
        <v>35000</v>
      </c>
    </row>
    <row r="83" spans="2:27" x14ac:dyDescent="0.45">
      <c r="B83" s="7">
        <v>790</v>
      </c>
      <c r="C83" s="5" t="s">
        <v>394</v>
      </c>
      <c r="D83" s="5" t="s">
        <v>753</v>
      </c>
      <c r="E83" s="1" t="s">
        <v>757</v>
      </c>
      <c r="F83" s="1" t="s">
        <v>758</v>
      </c>
      <c r="G83" s="19">
        <v>3</v>
      </c>
      <c r="H83" s="19">
        <v>55</v>
      </c>
      <c r="I83" s="19">
        <v>68</v>
      </c>
      <c r="J83" s="19">
        <v>50</v>
      </c>
      <c r="K83" s="5" t="s">
        <v>399</v>
      </c>
      <c r="L83" s="2" t="s">
        <v>433</v>
      </c>
      <c r="M83" s="18">
        <v>1988</v>
      </c>
      <c r="N83" s="1" t="s">
        <v>447</v>
      </c>
      <c r="O83" s="18">
        <v>910</v>
      </c>
      <c r="P83" s="5" t="s">
        <v>5</v>
      </c>
      <c r="Q83" s="18">
        <v>2</v>
      </c>
      <c r="R83" s="18">
        <v>1</v>
      </c>
      <c r="S83" s="18">
        <v>24</v>
      </c>
      <c r="T83" s="14">
        <v>94000</v>
      </c>
      <c r="U83" s="14">
        <v>70000</v>
      </c>
      <c r="V83" s="14">
        <v>30000</v>
      </c>
      <c r="W83" s="4">
        <f t="shared" si="3"/>
        <v>-0.25531914893617019</v>
      </c>
      <c r="Z83" s="11">
        <f t="shared" si="4"/>
        <v>0.42857142857142855</v>
      </c>
      <c r="AA83" s="19">
        <f t="shared" si="5"/>
        <v>40000</v>
      </c>
    </row>
    <row r="84" spans="2:27" x14ac:dyDescent="0.45">
      <c r="B84" s="7">
        <v>840</v>
      </c>
      <c r="C84" s="1" t="s">
        <v>230</v>
      </c>
      <c r="D84" s="1" t="s">
        <v>781</v>
      </c>
      <c r="E84" s="1" t="s">
        <v>788</v>
      </c>
      <c r="F84" s="1" t="s">
        <v>785</v>
      </c>
      <c r="G84" s="19">
        <v>5</v>
      </c>
      <c r="H84" s="19">
        <v>50</v>
      </c>
      <c r="I84" s="19">
        <v>43</v>
      </c>
      <c r="J84" s="19">
        <v>40</v>
      </c>
      <c r="K84" s="1" t="s">
        <v>419</v>
      </c>
      <c r="L84" s="2" t="s">
        <v>439</v>
      </c>
      <c r="M84" s="19">
        <v>2005</v>
      </c>
      <c r="N84" s="1" t="s">
        <v>440</v>
      </c>
      <c r="O84" s="19">
        <v>216</v>
      </c>
      <c r="P84" s="1" t="s">
        <v>18</v>
      </c>
      <c r="Q84" s="19">
        <v>3</v>
      </c>
      <c r="R84" s="19">
        <v>2</v>
      </c>
      <c r="S84" s="19">
        <v>25</v>
      </c>
      <c r="T84" s="14">
        <v>76000</v>
      </c>
      <c r="U84" s="14">
        <v>70000</v>
      </c>
      <c r="V84" s="14">
        <v>47000</v>
      </c>
      <c r="W84" s="4">
        <f t="shared" si="3"/>
        <v>-7.8947368421052627E-2</v>
      </c>
      <c r="Z84" s="11">
        <f t="shared" si="4"/>
        <v>0.67142857142857137</v>
      </c>
      <c r="AA84" s="19">
        <f t="shared" si="5"/>
        <v>23000</v>
      </c>
    </row>
    <row r="85" spans="2:27" x14ac:dyDescent="0.45">
      <c r="B85" s="7">
        <v>2314</v>
      </c>
      <c r="C85" s="5" t="s">
        <v>178</v>
      </c>
      <c r="D85" s="5" t="s">
        <v>1204</v>
      </c>
      <c r="E85" s="1" t="s">
        <v>1212</v>
      </c>
      <c r="F85" s="1" t="s">
        <v>1213</v>
      </c>
      <c r="G85" s="19">
        <v>6</v>
      </c>
      <c r="H85" s="19">
        <v>45</v>
      </c>
      <c r="I85" s="19">
        <v>55</v>
      </c>
      <c r="J85" s="19">
        <v>40</v>
      </c>
      <c r="K85" s="5" t="s">
        <v>255</v>
      </c>
      <c r="L85" s="2" t="s">
        <v>439</v>
      </c>
      <c r="M85" s="18">
        <v>2003</v>
      </c>
      <c r="N85" s="1" t="s">
        <v>447</v>
      </c>
      <c r="O85" s="18">
        <v>582</v>
      </c>
      <c r="P85" s="5" t="s">
        <v>18</v>
      </c>
      <c r="Q85" s="18">
        <v>3</v>
      </c>
      <c r="R85" s="18">
        <v>2</v>
      </c>
      <c r="S85" s="18">
        <v>24</v>
      </c>
      <c r="T85" s="14">
        <v>79500</v>
      </c>
      <c r="U85" s="14">
        <v>70000</v>
      </c>
      <c r="V85" s="14">
        <v>40000</v>
      </c>
      <c r="W85" s="4">
        <f t="shared" si="3"/>
        <v>-0.11949685534591195</v>
      </c>
      <c r="Z85" s="11">
        <f t="shared" si="4"/>
        <v>0.5714285714285714</v>
      </c>
      <c r="AA85" s="19">
        <f t="shared" si="5"/>
        <v>30000</v>
      </c>
    </row>
    <row r="86" spans="2:27" x14ac:dyDescent="0.45">
      <c r="B86" s="7">
        <v>436</v>
      </c>
      <c r="C86" s="1" t="s">
        <v>554</v>
      </c>
      <c r="D86" s="1" t="s">
        <v>555</v>
      </c>
      <c r="E86" s="1" t="s">
        <v>573</v>
      </c>
      <c r="F86" s="1" t="s">
        <v>574</v>
      </c>
      <c r="G86" s="19">
        <v>5</v>
      </c>
      <c r="H86" s="19">
        <v>62</v>
      </c>
      <c r="I86" s="19">
        <v>36</v>
      </c>
      <c r="J86" s="19">
        <v>49</v>
      </c>
      <c r="K86" s="2" t="s">
        <v>216</v>
      </c>
      <c r="L86" s="2" t="s">
        <v>433</v>
      </c>
      <c r="M86" s="19">
        <v>1993</v>
      </c>
      <c r="N86" s="1" t="s">
        <v>447</v>
      </c>
      <c r="O86" s="19">
        <v>686</v>
      </c>
      <c r="P86" s="1" t="s">
        <v>18</v>
      </c>
      <c r="Q86" s="19">
        <v>3</v>
      </c>
      <c r="R86" s="19">
        <v>1</v>
      </c>
      <c r="S86" s="19">
        <v>23</v>
      </c>
      <c r="T86" s="14">
        <v>76500</v>
      </c>
      <c r="U86" s="14">
        <v>71000</v>
      </c>
      <c r="V86" s="14">
        <v>43000</v>
      </c>
      <c r="W86" s="4">
        <f t="shared" si="3"/>
        <v>-7.1895424836601302E-2</v>
      </c>
      <c r="Z86" s="11">
        <f t="shared" si="4"/>
        <v>0.60563380281690138</v>
      </c>
      <c r="AA86" s="19">
        <f t="shared" si="5"/>
        <v>28000</v>
      </c>
    </row>
    <row r="87" spans="2:27" x14ac:dyDescent="0.45">
      <c r="B87" s="7">
        <v>800</v>
      </c>
      <c r="C87" s="5" t="s">
        <v>394</v>
      </c>
      <c r="D87" s="5" t="s">
        <v>753</v>
      </c>
      <c r="E87" s="1" t="s">
        <v>766</v>
      </c>
      <c r="F87" s="1" t="s">
        <v>767</v>
      </c>
      <c r="G87" s="19">
        <v>3</v>
      </c>
      <c r="H87" s="19">
        <v>47</v>
      </c>
      <c r="I87" s="19">
        <v>59</v>
      </c>
      <c r="J87" s="19">
        <v>42</v>
      </c>
      <c r="K87" s="5" t="s">
        <v>395</v>
      </c>
      <c r="L87" s="2" t="s">
        <v>433</v>
      </c>
      <c r="M87" s="18">
        <v>1997</v>
      </c>
      <c r="N87" s="1" t="s">
        <v>434</v>
      </c>
      <c r="O87" s="18">
        <v>1981</v>
      </c>
      <c r="P87" s="5" t="s">
        <v>5</v>
      </c>
      <c r="Q87" s="18">
        <v>3</v>
      </c>
      <c r="R87" s="18">
        <v>1</v>
      </c>
      <c r="S87" s="18">
        <v>24</v>
      </c>
      <c r="T87" s="14">
        <v>88700</v>
      </c>
      <c r="U87" s="14">
        <v>71000</v>
      </c>
      <c r="V87" s="14">
        <v>38000</v>
      </c>
      <c r="W87" s="4">
        <f t="shared" si="3"/>
        <v>-0.19954904171364149</v>
      </c>
      <c r="Z87" s="11">
        <f t="shared" si="4"/>
        <v>0.53521126760563376</v>
      </c>
      <c r="AA87" s="19">
        <f t="shared" si="5"/>
        <v>33000</v>
      </c>
    </row>
    <row r="88" spans="2:27" x14ac:dyDescent="0.45">
      <c r="B88" s="7">
        <v>2309</v>
      </c>
      <c r="C88" s="5" t="s">
        <v>179</v>
      </c>
      <c r="D88" s="5" t="s">
        <v>1204</v>
      </c>
      <c r="E88" s="1" t="s">
        <v>1209</v>
      </c>
      <c r="F88" s="1" t="s">
        <v>1208</v>
      </c>
      <c r="G88" s="19">
        <v>6</v>
      </c>
      <c r="H88" s="19">
        <v>55</v>
      </c>
      <c r="I88" s="19">
        <v>65</v>
      </c>
      <c r="J88" s="19">
        <v>50</v>
      </c>
      <c r="K88" s="5" t="s">
        <v>293</v>
      </c>
      <c r="L88" s="2" t="s">
        <v>439</v>
      </c>
      <c r="M88" s="18">
        <v>2010</v>
      </c>
      <c r="N88" s="1" t="s">
        <v>434</v>
      </c>
      <c r="O88" s="18">
        <v>1326</v>
      </c>
      <c r="P88" s="5" t="s">
        <v>18</v>
      </c>
      <c r="Q88" s="18">
        <v>3</v>
      </c>
      <c r="R88" s="18">
        <v>2</v>
      </c>
      <c r="S88" s="18">
        <v>24</v>
      </c>
      <c r="T88" s="14">
        <v>78800</v>
      </c>
      <c r="U88" s="14">
        <v>71000</v>
      </c>
      <c r="V88" s="14">
        <v>46000</v>
      </c>
      <c r="W88" s="4">
        <f t="shared" si="3"/>
        <v>-9.8984771573604066E-2</v>
      </c>
      <c r="Z88" s="11">
        <f t="shared" si="4"/>
        <v>0.647887323943662</v>
      </c>
      <c r="AA88" s="19">
        <f t="shared" si="5"/>
        <v>25000</v>
      </c>
    </row>
    <row r="89" spans="2:27" x14ac:dyDescent="0.45">
      <c r="B89" s="7">
        <v>701</v>
      </c>
      <c r="C89" s="1" t="s">
        <v>35</v>
      </c>
      <c r="D89" s="1" t="s">
        <v>652</v>
      </c>
      <c r="E89" s="1" t="s">
        <v>671</v>
      </c>
      <c r="F89" s="1" t="s">
        <v>672</v>
      </c>
      <c r="G89" s="19">
        <v>6</v>
      </c>
      <c r="H89" s="19">
        <v>42</v>
      </c>
      <c r="I89" s="19">
        <v>22</v>
      </c>
      <c r="J89" s="19">
        <v>32</v>
      </c>
      <c r="K89" s="1" t="s">
        <v>71</v>
      </c>
      <c r="L89" s="2" t="s">
        <v>439</v>
      </c>
      <c r="M89" s="19">
        <v>2001</v>
      </c>
      <c r="N89" s="1" t="s">
        <v>434</v>
      </c>
      <c r="O89" s="19">
        <v>1269</v>
      </c>
      <c r="P89" s="5" t="s">
        <v>18</v>
      </c>
      <c r="Q89" s="18">
        <v>3</v>
      </c>
      <c r="R89" s="19">
        <v>2</v>
      </c>
      <c r="S89" s="18">
        <v>33</v>
      </c>
      <c r="T89" s="14">
        <v>92000</v>
      </c>
      <c r="U89" s="14">
        <v>71500</v>
      </c>
      <c r="V89" s="14">
        <v>55000</v>
      </c>
      <c r="W89" s="4">
        <f t="shared" si="3"/>
        <v>-0.22282608695652173</v>
      </c>
      <c r="Z89" s="11">
        <f t="shared" si="4"/>
        <v>0.76923076923076927</v>
      </c>
      <c r="AA89" s="19">
        <f t="shared" si="5"/>
        <v>16500</v>
      </c>
    </row>
    <row r="90" spans="2:27" x14ac:dyDescent="0.45">
      <c r="B90" s="7">
        <v>780</v>
      </c>
      <c r="C90" s="5" t="s">
        <v>726</v>
      </c>
      <c r="D90" s="5" t="s">
        <v>711</v>
      </c>
      <c r="E90" s="1" t="s">
        <v>743</v>
      </c>
      <c r="F90" s="1" t="s">
        <v>744</v>
      </c>
      <c r="G90" s="19">
        <v>5</v>
      </c>
      <c r="H90" s="19">
        <v>42</v>
      </c>
      <c r="I90" s="19">
        <v>52</v>
      </c>
      <c r="J90" s="19">
        <v>40</v>
      </c>
      <c r="K90" s="5" t="s">
        <v>57</v>
      </c>
      <c r="L90" s="2" t="s">
        <v>439</v>
      </c>
      <c r="M90" s="18">
        <v>2001</v>
      </c>
      <c r="N90" s="1" t="s">
        <v>434</v>
      </c>
      <c r="O90" s="18">
        <v>1601</v>
      </c>
      <c r="P90" s="5" t="s">
        <v>18</v>
      </c>
      <c r="Q90" s="18">
        <v>3</v>
      </c>
      <c r="R90" s="18">
        <v>1</v>
      </c>
      <c r="S90" s="18">
        <v>24</v>
      </c>
      <c r="T90" s="14">
        <v>81000</v>
      </c>
      <c r="U90" s="14">
        <v>72000</v>
      </c>
      <c r="V90" s="14">
        <v>40000</v>
      </c>
      <c r="W90" s="4">
        <f t="shared" si="3"/>
        <v>-0.1111111111111111</v>
      </c>
      <c r="Z90" s="11">
        <f t="shared" si="4"/>
        <v>0.55555555555555558</v>
      </c>
      <c r="AA90" s="19">
        <f t="shared" si="5"/>
        <v>32000</v>
      </c>
    </row>
    <row r="91" spans="2:27" x14ac:dyDescent="0.45">
      <c r="B91" s="7">
        <v>687</v>
      </c>
      <c r="C91" s="5" t="s">
        <v>33</v>
      </c>
      <c r="D91" s="1" t="s">
        <v>652</v>
      </c>
      <c r="E91" s="1" t="s">
        <v>662</v>
      </c>
      <c r="F91" s="1" t="s">
        <v>663</v>
      </c>
      <c r="G91" s="19">
        <v>6</v>
      </c>
      <c r="H91" s="19">
        <v>55</v>
      </c>
      <c r="I91" s="19">
        <v>38</v>
      </c>
      <c r="J91" s="19">
        <v>45</v>
      </c>
      <c r="K91" s="5" t="s">
        <v>329</v>
      </c>
      <c r="L91" s="2" t="s">
        <v>439</v>
      </c>
      <c r="M91" s="18">
        <v>2004</v>
      </c>
      <c r="N91" s="1" t="s">
        <v>440</v>
      </c>
      <c r="O91" s="18">
        <v>378</v>
      </c>
      <c r="P91" s="5" t="s">
        <v>18</v>
      </c>
      <c r="Q91" s="18">
        <v>3</v>
      </c>
      <c r="R91" s="18">
        <v>2</v>
      </c>
      <c r="S91" s="18">
        <v>33</v>
      </c>
      <c r="T91" s="14">
        <v>85000</v>
      </c>
      <c r="U91" s="14">
        <v>73000</v>
      </c>
      <c r="V91" s="14">
        <v>47000</v>
      </c>
      <c r="W91" s="4">
        <f t="shared" si="3"/>
        <v>-0.14117647058823529</v>
      </c>
      <c r="Z91" s="11">
        <f t="shared" si="4"/>
        <v>0.64383561643835618</v>
      </c>
      <c r="AA91" s="19">
        <f t="shared" si="5"/>
        <v>26000</v>
      </c>
    </row>
    <row r="92" spans="2:27" x14ac:dyDescent="0.45">
      <c r="B92" s="7">
        <v>707</v>
      </c>
      <c r="C92" s="1" t="s">
        <v>37</v>
      </c>
      <c r="D92" s="1" t="s">
        <v>652</v>
      </c>
      <c r="E92" s="1" t="s">
        <v>679</v>
      </c>
      <c r="F92" s="1" t="s">
        <v>677</v>
      </c>
      <c r="G92" s="19">
        <v>6</v>
      </c>
      <c r="H92" s="19">
        <v>40</v>
      </c>
      <c r="I92" s="19">
        <v>20</v>
      </c>
      <c r="J92" s="19">
        <v>30</v>
      </c>
      <c r="K92" s="1" t="s">
        <v>68</v>
      </c>
      <c r="L92" s="2" t="s">
        <v>439</v>
      </c>
      <c r="M92" s="19">
        <v>2006</v>
      </c>
      <c r="N92" s="1" t="s">
        <v>447</v>
      </c>
      <c r="O92" s="19">
        <v>650</v>
      </c>
      <c r="P92" s="5" t="s">
        <v>18</v>
      </c>
      <c r="Q92" s="18">
        <v>3</v>
      </c>
      <c r="R92" s="19">
        <v>2</v>
      </c>
      <c r="S92" s="18">
        <v>33</v>
      </c>
      <c r="T92" s="14">
        <v>87000</v>
      </c>
      <c r="U92" s="14">
        <v>73000</v>
      </c>
      <c r="V92" s="14">
        <v>50000</v>
      </c>
      <c r="W92" s="4">
        <f t="shared" si="3"/>
        <v>-0.16091954022988506</v>
      </c>
      <c r="Z92" s="11">
        <f t="shared" si="4"/>
        <v>0.68493150684931503</v>
      </c>
      <c r="AA92" s="19">
        <f t="shared" si="5"/>
        <v>23000</v>
      </c>
    </row>
    <row r="93" spans="2:27" x14ac:dyDescent="0.45">
      <c r="B93" s="7">
        <v>716</v>
      </c>
      <c r="C93" s="1" t="s">
        <v>33</v>
      </c>
      <c r="D93" s="1" t="s">
        <v>652</v>
      </c>
      <c r="E93" s="1" t="s">
        <v>688</v>
      </c>
      <c r="F93" s="1" t="s">
        <v>689</v>
      </c>
      <c r="G93" s="19">
        <v>5</v>
      </c>
      <c r="H93" s="19">
        <v>50</v>
      </c>
      <c r="I93" s="19">
        <v>30</v>
      </c>
      <c r="J93" s="19">
        <v>43</v>
      </c>
      <c r="K93" s="1" t="s">
        <v>38</v>
      </c>
      <c r="L93" s="2" t="s">
        <v>439</v>
      </c>
      <c r="M93" s="19">
        <v>2001</v>
      </c>
      <c r="N93" s="1" t="s">
        <v>434</v>
      </c>
      <c r="O93" s="19">
        <v>2412</v>
      </c>
      <c r="P93" s="5" t="s">
        <v>18</v>
      </c>
      <c r="Q93" s="18">
        <v>3</v>
      </c>
      <c r="R93" s="19">
        <v>1</v>
      </c>
      <c r="S93" s="18">
        <v>24</v>
      </c>
      <c r="T93" s="14">
        <v>85000</v>
      </c>
      <c r="U93" s="14">
        <v>73000</v>
      </c>
      <c r="V93" s="14">
        <v>44500</v>
      </c>
      <c r="W93" s="4">
        <f t="shared" si="3"/>
        <v>-0.14117647058823529</v>
      </c>
      <c r="Z93" s="11">
        <f t="shared" si="4"/>
        <v>0.6095890410958904</v>
      </c>
      <c r="AA93" s="19">
        <f t="shared" si="5"/>
        <v>28500</v>
      </c>
    </row>
    <row r="94" spans="2:27" x14ac:dyDescent="0.45">
      <c r="B94" s="7">
        <v>1601</v>
      </c>
      <c r="C94" s="1" t="s">
        <v>80</v>
      </c>
      <c r="D94" s="1" t="s">
        <v>998</v>
      </c>
      <c r="E94" s="1" t="s">
        <v>1002</v>
      </c>
      <c r="F94" s="1" t="s">
        <v>1003</v>
      </c>
      <c r="G94" s="19">
        <v>5</v>
      </c>
      <c r="H94" s="19">
        <v>50</v>
      </c>
      <c r="I94" s="19">
        <v>45</v>
      </c>
      <c r="J94" s="19">
        <v>35</v>
      </c>
      <c r="K94" s="6" t="s">
        <v>379</v>
      </c>
      <c r="L94" s="2" t="s">
        <v>439</v>
      </c>
      <c r="M94" s="19">
        <v>2008</v>
      </c>
      <c r="N94" s="1" t="s">
        <v>447</v>
      </c>
      <c r="O94" s="19">
        <v>522</v>
      </c>
      <c r="P94" s="1" t="s">
        <v>18</v>
      </c>
      <c r="Q94" s="19">
        <v>3</v>
      </c>
      <c r="R94" s="19">
        <v>2</v>
      </c>
      <c r="S94" s="19">
        <v>25</v>
      </c>
      <c r="T94" s="14">
        <v>80500</v>
      </c>
      <c r="U94" s="14">
        <v>73000</v>
      </c>
      <c r="V94" s="14">
        <v>45000</v>
      </c>
      <c r="W94" s="4">
        <f t="shared" si="3"/>
        <v>-9.3167701863354033E-2</v>
      </c>
      <c r="Z94" s="11">
        <f t="shared" si="4"/>
        <v>0.61643835616438358</v>
      </c>
      <c r="AA94" s="19">
        <f t="shared" si="5"/>
        <v>28000</v>
      </c>
    </row>
    <row r="95" spans="2:27" x14ac:dyDescent="0.45">
      <c r="B95" s="7">
        <v>2326</v>
      </c>
      <c r="C95" s="5" t="s">
        <v>179</v>
      </c>
      <c r="D95" s="5" t="s">
        <v>1204</v>
      </c>
      <c r="E95" s="1" t="s">
        <v>1223</v>
      </c>
      <c r="F95" s="1" t="s">
        <v>1224</v>
      </c>
      <c r="G95" s="19">
        <v>5</v>
      </c>
      <c r="H95" s="19">
        <v>55</v>
      </c>
      <c r="I95" s="19">
        <v>60</v>
      </c>
      <c r="J95" s="19">
        <v>45</v>
      </c>
      <c r="K95" s="5" t="s">
        <v>1225</v>
      </c>
      <c r="L95" s="2" t="s">
        <v>439</v>
      </c>
      <c r="M95" s="18">
        <v>2012</v>
      </c>
      <c r="N95" s="1" t="s">
        <v>440</v>
      </c>
      <c r="O95" s="18">
        <v>381</v>
      </c>
      <c r="P95" s="5" t="s">
        <v>18</v>
      </c>
      <c r="Q95" s="18">
        <v>3</v>
      </c>
      <c r="R95" s="18">
        <v>2</v>
      </c>
      <c r="S95" s="18">
        <v>33</v>
      </c>
      <c r="T95" s="14">
        <v>85000</v>
      </c>
      <c r="U95" s="14">
        <v>74000</v>
      </c>
      <c r="V95" s="14">
        <v>55000</v>
      </c>
      <c r="W95" s="4">
        <f t="shared" si="3"/>
        <v>-0.12941176470588237</v>
      </c>
      <c r="Z95" s="11">
        <f t="shared" si="4"/>
        <v>0.7432432432432432</v>
      </c>
      <c r="AA95" s="19">
        <f t="shared" si="5"/>
        <v>19000</v>
      </c>
    </row>
    <row r="96" spans="2:27" x14ac:dyDescent="0.45">
      <c r="B96" s="7">
        <v>737</v>
      </c>
      <c r="C96" s="5" t="s">
        <v>242</v>
      </c>
      <c r="D96" s="5" t="s">
        <v>711</v>
      </c>
      <c r="E96" s="1" t="s">
        <v>714</v>
      </c>
      <c r="F96" s="1" t="s">
        <v>715</v>
      </c>
      <c r="G96" s="19">
        <v>4</v>
      </c>
      <c r="H96" s="19">
        <v>48</v>
      </c>
      <c r="I96" s="19">
        <v>58</v>
      </c>
      <c r="J96" s="19">
        <v>41</v>
      </c>
      <c r="K96" s="5" t="s">
        <v>409</v>
      </c>
      <c r="L96" s="2" t="s">
        <v>433</v>
      </c>
      <c r="M96" s="18">
        <v>1988</v>
      </c>
      <c r="N96" s="1" t="s">
        <v>447</v>
      </c>
      <c r="O96" s="18">
        <v>660</v>
      </c>
      <c r="P96" s="5" t="s">
        <v>18</v>
      </c>
      <c r="Q96" s="18">
        <v>3</v>
      </c>
      <c r="R96" s="18">
        <v>1</v>
      </c>
      <c r="S96" s="18">
        <v>25</v>
      </c>
      <c r="T96" s="14">
        <v>89500</v>
      </c>
      <c r="U96" s="14">
        <v>75000</v>
      </c>
      <c r="V96" s="14">
        <v>36700</v>
      </c>
      <c r="W96" s="4">
        <f t="shared" si="3"/>
        <v>-0.16201117318435754</v>
      </c>
      <c r="Z96" s="11">
        <f t="shared" si="4"/>
        <v>0.48933333333333334</v>
      </c>
      <c r="AA96" s="19">
        <f t="shared" si="5"/>
        <v>38300</v>
      </c>
    </row>
    <row r="97" spans="2:27" x14ac:dyDescent="0.45">
      <c r="B97" s="7">
        <v>771</v>
      </c>
      <c r="C97" s="5" t="s">
        <v>242</v>
      </c>
      <c r="D97" s="5" t="s">
        <v>711</v>
      </c>
      <c r="E97" s="1" t="s">
        <v>738</v>
      </c>
      <c r="F97" s="1" t="s">
        <v>736</v>
      </c>
      <c r="G97" s="19">
        <v>3</v>
      </c>
      <c r="H97" s="19">
        <v>48</v>
      </c>
      <c r="I97" s="19">
        <v>60</v>
      </c>
      <c r="J97" s="19">
        <v>40</v>
      </c>
      <c r="K97" s="5" t="s">
        <v>246</v>
      </c>
      <c r="L97" s="2" t="s">
        <v>433</v>
      </c>
      <c r="M97" s="18">
        <v>1988</v>
      </c>
      <c r="N97" s="1" t="s">
        <v>434</v>
      </c>
      <c r="O97" s="18">
        <v>2634</v>
      </c>
      <c r="P97" s="5" t="s">
        <v>5</v>
      </c>
      <c r="Q97" s="18">
        <v>2</v>
      </c>
      <c r="R97" s="18">
        <v>1</v>
      </c>
      <c r="S97" s="18">
        <v>24</v>
      </c>
      <c r="T97" s="14">
        <v>86500</v>
      </c>
      <c r="U97" s="14">
        <v>75000</v>
      </c>
      <c r="V97" s="14">
        <v>28000</v>
      </c>
      <c r="W97" s="4">
        <f t="shared" si="3"/>
        <v>-0.13294797687861271</v>
      </c>
      <c r="Z97" s="11">
        <f t="shared" si="4"/>
        <v>0.37333333333333335</v>
      </c>
      <c r="AA97" s="19">
        <f t="shared" si="5"/>
        <v>47000</v>
      </c>
    </row>
    <row r="98" spans="2:27" x14ac:dyDescent="0.45">
      <c r="B98" s="7">
        <v>799</v>
      </c>
      <c r="C98" s="5" t="s">
        <v>394</v>
      </c>
      <c r="D98" s="5" t="s">
        <v>753</v>
      </c>
      <c r="E98" s="1" t="s">
        <v>766</v>
      </c>
      <c r="F98" s="1" t="s">
        <v>767</v>
      </c>
      <c r="G98" s="19">
        <v>3</v>
      </c>
      <c r="H98" s="19">
        <v>47</v>
      </c>
      <c r="I98" s="19">
        <v>59</v>
      </c>
      <c r="J98" s="19">
        <v>42</v>
      </c>
      <c r="K98" s="5" t="s">
        <v>395</v>
      </c>
      <c r="L98" s="2" t="s">
        <v>433</v>
      </c>
      <c r="M98" s="18">
        <v>1997</v>
      </c>
      <c r="N98" s="1" t="s">
        <v>434</v>
      </c>
      <c r="O98" s="18">
        <v>1981</v>
      </c>
      <c r="P98" s="5" t="s">
        <v>5</v>
      </c>
      <c r="Q98" s="18">
        <v>2</v>
      </c>
      <c r="R98" s="18">
        <v>1</v>
      </c>
      <c r="S98" s="18">
        <v>24</v>
      </c>
      <c r="T98" s="14">
        <v>88800</v>
      </c>
      <c r="U98" s="14">
        <v>75000</v>
      </c>
      <c r="V98" s="14">
        <v>38000</v>
      </c>
      <c r="W98" s="4">
        <f t="shared" si="3"/>
        <v>-0.1554054054054054</v>
      </c>
      <c r="Z98" s="11">
        <f t="shared" si="4"/>
        <v>0.50666666666666671</v>
      </c>
      <c r="AA98" s="19">
        <f t="shared" si="5"/>
        <v>37000</v>
      </c>
    </row>
    <row r="99" spans="2:27" x14ac:dyDescent="0.45">
      <c r="B99" s="7">
        <v>806</v>
      </c>
      <c r="C99" s="5" t="s">
        <v>310</v>
      </c>
      <c r="D99" s="5" t="s">
        <v>753</v>
      </c>
      <c r="E99" s="1" t="s">
        <v>770</v>
      </c>
      <c r="F99" s="1" t="s">
        <v>771</v>
      </c>
      <c r="G99" s="19">
        <v>6</v>
      </c>
      <c r="H99" s="19">
        <v>62</v>
      </c>
      <c r="I99" s="19">
        <v>74</v>
      </c>
      <c r="J99" s="19">
        <v>55</v>
      </c>
      <c r="K99" s="5" t="s">
        <v>312</v>
      </c>
      <c r="L99" s="2" t="s">
        <v>439</v>
      </c>
      <c r="M99" s="18">
        <v>2002</v>
      </c>
      <c r="N99" s="1" t="s">
        <v>440</v>
      </c>
      <c r="O99" s="18">
        <v>407</v>
      </c>
      <c r="P99" s="5" t="s">
        <v>18</v>
      </c>
      <c r="Q99" s="18">
        <v>3</v>
      </c>
      <c r="R99" s="18">
        <v>2</v>
      </c>
      <c r="S99" s="18">
        <v>33</v>
      </c>
      <c r="T99" s="14">
        <v>84500</v>
      </c>
      <c r="U99" s="14">
        <v>75000</v>
      </c>
      <c r="V99" s="14">
        <v>42000</v>
      </c>
      <c r="W99" s="4">
        <f t="shared" si="3"/>
        <v>-0.11242603550295859</v>
      </c>
      <c r="Z99" s="11">
        <f t="shared" si="4"/>
        <v>0.56000000000000005</v>
      </c>
      <c r="AA99" s="19">
        <f t="shared" si="5"/>
        <v>33000</v>
      </c>
    </row>
    <row r="100" spans="2:27" x14ac:dyDescent="0.45">
      <c r="B100" s="7">
        <v>808</v>
      </c>
      <c r="C100" s="5" t="s">
        <v>310</v>
      </c>
      <c r="D100" s="5" t="s">
        <v>753</v>
      </c>
      <c r="E100" s="1" t="s">
        <v>772</v>
      </c>
      <c r="F100" s="1" t="s">
        <v>771</v>
      </c>
      <c r="G100" s="19">
        <v>5</v>
      </c>
      <c r="H100" s="19">
        <v>60</v>
      </c>
      <c r="I100" s="19">
        <v>72</v>
      </c>
      <c r="J100" s="19">
        <v>53</v>
      </c>
      <c r="K100" s="5" t="s">
        <v>311</v>
      </c>
      <c r="L100" s="2" t="s">
        <v>439</v>
      </c>
      <c r="M100" s="18">
        <v>2014</v>
      </c>
      <c r="N100" s="1" t="s">
        <v>440</v>
      </c>
      <c r="O100" s="18">
        <v>293</v>
      </c>
      <c r="P100" s="5" t="s">
        <v>18</v>
      </c>
      <c r="Q100" s="18">
        <v>3</v>
      </c>
      <c r="R100" s="18">
        <v>2</v>
      </c>
      <c r="S100" s="18">
        <v>33</v>
      </c>
      <c r="T100" s="14">
        <v>87800</v>
      </c>
      <c r="U100" s="14">
        <v>75000</v>
      </c>
      <c r="V100" s="14">
        <v>48000</v>
      </c>
      <c r="W100" s="4">
        <f t="shared" si="3"/>
        <v>-0.14578587699316628</v>
      </c>
      <c r="Z100" s="11">
        <f t="shared" si="4"/>
        <v>0.64</v>
      </c>
      <c r="AA100" s="19">
        <f t="shared" si="5"/>
        <v>27000</v>
      </c>
    </row>
    <row r="101" spans="2:27" x14ac:dyDescent="0.45">
      <c r="B101" s="7">
        <v>1270</v>
      </c>
      <c r="C101" s="1" t="s">
        <v>4</v>
      </c>
      <c r="D101" s="1" t="s">
        <v>899</v>
      </c>
      <c r="E101" s="1" t="s">
        <v>909</v>
      </c>
      <c r="F101" s="1" t="s">
        <v>910</v>
      </c>
      <c r="G101" s="19">
        <v>7</v>
      </c>
      <c r="H101" s="19">
        <v>55</v>
      </c>
      <c r="I101" s="19">
        <v>38</v>
      </c>
      <c r="J101" s="19">
        <v>25</v>
      </c>
      <c r="K101" s="1" t="s">
        <v>416</v>
      </c>
      <c r="L101" s="2" t="s">
        <v>433</v>
      </c>
      <c r="M101" s="19">
        <v>1997</v>
      </c>
      <c r="N101" s="1" t="s">
        <v>434</v>
      </c>
      <c r="O101" s="19">
        <v>1329</v>
      </c>
      <c r="P101" s="1" t="s">
        <v>18</v>
      </c>
      <c r="Q101" s="19">
        <v>3</v>
      </c>
      <c r="R101" s="19">
        <v>2</v>
      </c>
      <c r="S101" s="19">
        <v>33</v>
      </c>
      <c r="T101" s="14">
        <v>87300</v>
      </c>
      <c r="U101" s="14">
        <v>75000</v>
      </c>
      <c r="V101" s="14">
        <v>45000</v>
      </c>
      <c r="W101" s="4">
        <f t="shared" si="3"/>
        <v>-0.14089347079037801</v>
      </c>
      <c r="Z101" s="11">
        <f t="shared" si="4"/>
        <v>0.6</v>
      </c>
      <c r="AA101" s="19">
        <f t="shared" si="5"/>
        <v>30000</v>
      </c>
    </row>
    <row r="102" spans="2:27" x14ac:dyDescent="0.45">
      <c r="B102" s="7">
        <v>1606</v>
      </c>
      <c r="C102" s="1" t="s">
        <v>13</v>
      </c>
      <c r="D102" s="1" t="s">
        <v>998</v>
      </c>
      <c r="E102" s="1" t="s">
        <v>1004</v>
      </c>
      <c r="F102" s="1" t="s">
        <v>1003</v>
      </c>
      <c r="G102" s="19">
        <v>4</v>
      </c>
      <c r="H102" s="19">
        <v>52</v>
      </c>
      <c r="I102" s="19">
        <v>45</v>
      </c>
      <c r="J102" s="19">
        <v>35</v>
      </c>
      <c r="K102" s="6" t="s">
        <v>378</v>
      </c>
      <c r="L102" s="2" t="s">
        <v>439</v>
      </c>
      <c r="M102" s="19">
        <v>2005</v>
      </c>
      <c r="N102" s="1" t="s">
        <v>440</v>
      </c>
      <c r="O102" s="19">
        <v>403</v>
      </c>
      <c r="P102" s="1" t="s">
        <v>18</v>
      </c>
      <c r="Q102" s="19">
        <v>3</v>
      </c>
      <c r="R102" s="19">
        <v>1</v>
      </c>
      <c r="S102" s="19">
        <v>25</v>
      </c>
      <c r="T102" s="14">
        <v>82000</v>
      </c>
      <c r="U102" s="14">
        <v>75000</v>
      </c>
      <c r="V102" s="14">
        <v>42000</v>
      </c>
      <c r="W102" s="4">
        <f t="shared" si="3"/>
        <v>-8.5365853658536592E-2</v>
      </c>
      <c r="Z102" s="11">
        <f t="shared" si="4"/>
        <v>0.56000000000000005</v>
      </c>
      <c r="AA102" s="19">
        <f t="shared" si="5"/>
        <v>33000</v>
      </c>
    </row>
    <row r="103" spans="2:27" x14ac:dyDescent="0.45">
      <c r="B103" s="7">
        <v>2158</v>
      </c>
      <c r="C103" s="1" t="s">
        <v>226</v>
      </c>
      <c r="D103" s="1" t="s">
        <v>1150</v>
      </c>
      <c r="E103" s="1" t="s">
        <v>1163</v>
      </c>
      <c r="F103" s="1" t="s">
        <v>1158</v>
      </c>
      <c r="G103" s="19">
        <v>8</v>
      </c>
      <c r="H103" s="19">
        <v>55</v>
      </c>
      <c r="I103" s="19">
        <v>40</v>
      </c>
      <c r="J103" s="19">
        <v>30</v>
      </c>
      <c r="K103" s="2" t="s">
        <v>349</v>
      </c>
      <c r="L103" s="2" t="s">
        <v>453</v>
      </c>
      <c r="M103" s="19">
        <v>2021</v>
      </c>
      <c r="N103" s="1" t="s">
        <v>447</v>
      </c>
      <c r="O103" s="19">
        <v>678</v>
      </c>
      <c r="P103" s="1" t="s">
        <v>18</v>
      </c>
      <c r="Q103" s="19">
        <v>2</v>
      </c>
      <c r="R103" s="19">
        <v>1</v>
      </c>
      <c r="S103" s="19">
        <v>21</v>
      </c>
      <c r="T103" s="14">
        <v>75000</v>
      </c>
      <c r="U103" s="14">
        <v>75000</v>
      </c>
      <c r="V103" s="14">
        <v>42000</v>
      </c>
      <c r="W103" s="4">
        <f t="shared" si="3"/>
        <v>0</v>
      </c>
      <c r="Z103" s="11">
        <f t="shared" si="4"/>
        <v>0.56000000000000005</v>
      </c>
      <c r="AA103" s="19">
        <f t="shared" si="5"/>
        <v>33000</v>
      </c>
    </row>
    <row r="104" spans="2:27" x14ac:dyDescent="0.45">
      <c r="B104" s="7">
        <v>2202</v>
      </c>
      <c r="C104" s="1" t="s">
        <v>92</v>
      </c>
      <c r="D104" s="1" t="s">
        <v>1150</v>
      </c>
      <c r="E104" s="1" t="s">
        <v>1169</v>
      </c>
      <c r="F104" s="1" t="s">
        <v>1168</v>
      </c>
      <c r="G104" s="19">
        <v>12</v>
      </c>
      <c r="H104" s="19">
        <v>55</v>
      </c>
      <c r="I104" s="19">
        <v>30</v>
      </c>
      <c r="J104" s="19">
        <v>35</v>
      </c>
      <c r="K104" s="2" t="s">
        <v>281</v>
      </c>
      <c r="L104" s="2" t="s">
        <v>439</v>
      </c>
      <c r="M104" s="19">
        <v>2003</v>
      </c>
      <c r="N104" s="1" t="s">
        <v>447</v>
      </c>
      <c r="O104" s="19">
        <v>976</v>
      </c>
      <c r="P104" s="1" t="s">
        <v>18</v>
      </c>
      <c r="Q104" s="19">
        <v>3</v>
      </c>
      <c r="R104" s="19">
        <v>2</v>
      </c>
      <c r="S104" s="19">
        <v>32</v>
      </c>
      <c r="T104" s="14">
        <v>92000</v>
      </c>
      <c r="U104" s="14">
        <v>75000</v>
      </c>
      <c r="V104" s="14">
        <v>53000</v>
      </c>
      <c r="W104" s="4">
        <f t="shared" si="3"/>
        <v>-0.18478260869565216</v>
      </c>
      <c r="Z104" s="11">
        <f t="shared" si="4"/>
        <v>0.70666666666666667</v>
      </c>
      <c r="AA104" s="19">
        <f t="shared" si="5"/>
        <v>22000</v>
      </c>
    </row>
    <row r="105" spans="2:27" x14ac:dyDescent="0.45">
      <c r="B105" s="7">
        <v>2261</v>
      </c>
      <c r="C105" s="1" t="s">
        <v>1181</v>
      </c>
      <c r="D105" s="1" t="s">
        <v>1182</v>
      </c>
      <c r="E105" s="1" t="s">
        <v>1184</v>
      </c>
      <c r="F105" s="1" t="s">
        <v>1183</v>
      </c>
      <c r="G105" s="19">
        <v>5</v>
      </c>
      <c r="H105" s="19">
        <v>45</v>
      </c>
      <c r="I105" s="19">
        <v>40</v>
      </c>
      <c r="J105" s="19">
        <v>20</v>
      </c>
      <c r="K105" s="1" t="s">
        <v>400</v>
      </c>
      <c r="L105" s="2" t="s">
        <v>433</v>
      </c>
      <c r="M105" s="19">
        <v>1992</v>
      </c>
      <c r="N105" s="1" t="s">
        <v>447</v>
      </c>
      <c r="O105" s="19">
        <v>585</v>
      </c>
      <c r="P105" s="1" t="s">
        <v>5</v>
      </c>
      <c r="Q105" s="19">
        <v>2</v>
      </c>
      <c r="R105" s="19">
        <v>1</v>
      </c>
      <c r="S105" s="19">
        <v>21</v>
      </c>
      <c r="T105" s="14">
        <v>74500</v>
      </c>
      <c r="U105" s="14">
        <v>75000</v>
      </c>
      <c r="V105" s="14">
        <v>35000</v>
      </c>
      <c r="W105" s="4">
        <f t="shared" si="3"/>
        <v>6.7114093959731542E-3</v>
      </c>
      <c r="Z105" s="11">
        <f t="shared" si="4"/>
        <v>0.46666666666666667</v>
      </c>
      <c r="AA105" s="19">
        <f t="shared" si="5"/>
        <v>40000</v>
      </c>
    </row>
    <row r="106" spans="2:27" x14ac:dyDescent="0.45">
      <c r="B106" s="7">
        <v>2324</v>
      </c>
      <c r="C106" s="5" t="s">
        <v>178</v>
      </c>
      <c r="D106" s="5" t="s">
        <v>1204</v>
      </c>
      <c r="E106" s="1" t="s">
        <v>1222</v>
      </c>
      <c r="F106" s="1" t="s">
        <v>1221</v>
      </c>
      <c r="G106" s="19">
        <v>5</v>
      </c>
      <c r="H106" s="19">
        <v>40</v>
      </c>
      <c r="I106" s="19">
        <v>55</v>
      </c>
      <c r="J106" s="19">
        <v>45</v>
      </c>
      <c r="K106" s="5" t="s">
        <v>181</v>
      </c>
      <c r="L106" s="2" t="s">
        <v>433</v>
      </c>
      <c r="M106" s="18">
        <v>1995</v>
      </c>
      <c r="N106" s="1" t="s">
        <v>440</v>
      </c>
      <c r="O106" s="18">
        <v>344</v>
      </c>
      <c r="P106" s="5" t="s">
        <v>18</v>
      </c>
      <c r="Q106" s="18">
        <v>3</v>
      </c>
      <c r="R106" s="18">
        <v>2</v>
      </c>
      <c r="S106" s="18">
        <v>33</v>
      </c>
      <c r="T106" s="14">
        <v>85000</v>
      </c>
      <c r="U106" s="14">
        <v>75000</v>
      </c>
      <c r="V106" s="14">
        <v>53000</v>
      </c>
      <c r="W106" s="4">
        <f t="shared" si="3"/>
        <v>-0.11764705882352941</v>
      </c>
      <c r="Z106" s="11">
        <f t="shared" si="4"/>
        <v>0.70666666666666667</v>
      </c>
      <c r="AA106" s="19">
        <f t="shared" si="5"/>
        <v>22000</v>
      </c>
    </row>
    <row r="107" spans="2:27" x14ac:dyDescent="0.45">
      <c r="B107" s="7">
        <v>311</v>
      </c>
      <c r="C107" s="1" t="s">
        <v>198</v>
      </c>
      <c r="D107" s="1" t="s">
        <v>541</v>
      </c>
      <c r="E107" s="1" t="s">
        <v>552</v>
      </c>
      <c r="F107" s="1" t="s">
        <v>551</v>
      </c>
      <c r="G107" s="19">
        <v>5</v>
      </c>
      <c r="H107" s="19">
        <v>48</v>
      </c>
      <c r="I107" s="19">
        <v>52</v>
      </c>
      <c r="J107" s="19">
        <v>36</v>
      </c>
      <c r="K107" s="1" t="s">
        <v>200</v>
      </c>
      <c r="L107" s="2" t="s">
        <v>439</v>
      </c>
      <c r="M107" s="19">
        <v>2003</v>
      </c>
      <c r="N107" s="1" t="s">
        <v>447</v>
      </c>
      <c r="O107" s="19">
        <v>860</v>
      </c>
      <c r="P107" s="5" t="s">
        <v>18</v>
      </c>
      <c r="Q107" s="18">
        <v>3</v>
      </c>
      <c r="R107" s="19">
        <v>2</v>
      </c>
      <c r="S107" s="18">
        <v>33</v>
      </c>
      <c r="T107" s="14">
        <v>94400</v>
      </c>
      <c r="U107" s="14">
        <v>76000</v>
      </c>
      <c r="V107" s="14">
        <v>48000</v>
      </c>
      <c r="W107" s="4">
        <f t="shared" si="3"/>
        <v>-0.19491525423728814</v>
      </c>
      <c r="Z107" s="11">
        <f t="shared" si="4"/>
        <v>0.63157894736842102</v>
      </c>
      <c r="AA107" s="19">
        <f t="shared" si="5"/>
        <v>28000</v>
      </c>
    </row>
    <row r="108" spans="2:27" x14ac:dyDescent="0.45">
      <c r="B108" s="7">
        <v>1299</v>
      </c>
      <c r="C108" s="1" t="s">
        <v>901</v>
      </c>
      <c r="D108" s="1" t="s">
        <v>899</v>
      </c>
      <c r="E108" s="1" t="s">
        <v>915</v>
      </c>
      <c r="F108" s="1" t="s">
        <v>910</v>
      </c>
      <c r="G108" s="19">
        <v>10</v>
      </c>
      <c r="H108" s="19">
        <v>55</v>
      </c>
      <c r="I108" s="19">
        <v>40</v>
      </c>
      <c r="J108" s="19">
        <v>25</v>
      </c>
      <c r="K108" s="1" t="s">
        <v>916</v>
      </c>
      <c r="L108" s="2" t="s">
        <v>453</v>
      </c>
      <c r="M108" s="19">
        <v>2020</v>
      </c>
      <c r="N108" s="1" t="s">
        <v>440</v>
      </c>
      <c r="O108" s="19">
        <v>497</v>
      </c>
      <c r="P108" s="1" t="s">
        <v>18</v>
      </c>
      <c r="Q108" s="19">
        <v>3</v>
      </c>
      <c r="R108" s="19">
        <v>2</v>
      </c>
      <c r="S108" s="19">
        <v>25</v>
      </c>
      <c r="T108" s="14">
        <v>0</v>
      </c>
      <c r="U108" s="14">
        <v>76000</v>
      </c>
      <c r="V108" s="14">
        <v>43000</v>
      </c>
      <c r="W108" s="4" t="e">
        <f t="shared" si="3"/>
        <v>#DIV/0!</v>
      </c>
      <c r="Z108" s="11">
        <f t="shared" si="4"/>
        <v>0.56578947368421051</v>
      </c>
      <c r="AA108" s="19">
        <f t="shared" si="5"/>
        <v>33000</v>
      </c>
    </row>
    <row r="109" spans="2:27" x14ac:dyDescent="0.45">
      <c r="B109" s="7">
        <v>1590</v>
      </c>
      <c r="C109" s="1" t="s">
        <v>13</v>
      </c>
      <c r="D109" s="1" t="s">
        <v>998</v>
      </c>
      <c r="E109" s="1" t="s">
        <v>999</v>
      </c>
      <c r="F109" s="1" t="s">
        <v>1000</v>
      </c>
      <c r="G109" s="19" t="s">
        <v>1248</v>
      </c>
      <c r="H109" s="19">
        <v>45</v>
      </c>
      <c r="I109" s="19">
        <v>35</v>
      </c>
      <c r="J109" s="19">
        <v>22</v>
      </c>
      <c r="K109" s="6" t="s">
        <v>412</v>
      </c>
      <c r="L109" s="2" t="s">
        <v>433</v>
      </c>
      <c r="M109" s="19">
        <v>1998</v>
      </c>
      <c r="N109" s="1" t="s">
        <v>434</v>
      </c>
      <c r="O109" s="19">
        <v>4509</v>
      </c>
      <c r="P109" s="1" t="s">
        <v>5</v>
      </c>
      <c r="Q109" s="19">
        <v>3</v>
      </c>
      <c r="R109" s="19">
        <v>1</v>
      </c>
      <c r="S109" s="19">
        <v>27</v>
      </c>
      <c r="T109" s="14">
        <v>86000</v>
      </c>
      <c r="U109" s="14">
        <v>76000</v>
      </c>
      <c r="V109" s="14">
        <v>45000</v>
      </c>
      <c r="W109" s="4">
        <f t="shared" si="3"/>
        <v>-0.11627906976744186</v>
      </c>
      <c r="Z109" s="11">
        <f t="shared" si="4"/>
        <v>0.59210526315789469</v>
      </c>
      <c r="AA109" s="19">
        <f t="shared" si="5"/>
        <v>31000</v>
      </c>
    </row>
    <row r="110" spans="2:27" x14ac:dyDescent="0.45">
      <c r="B110" s="7">
        <v>1910</v>
      </c>
      <c r="C110" s="1" t="s">
        <v>73</v>
      </c>
      <c r="D110" s="1" t="s">
        <v>1077</v>
      </c>
      <c r="E110" s="1" t="s">
        <v>1084</v>
      </c>
      <c r="F110" s="1" t="s">
        <v>1083</v>
      </c>
      <c r="G110" s="19">
        <v>6</v>
      </c>
      <c r="H110" s="19">
        <v>52</v>
      </c>
      <c r="I110" s="19">
        <v>28</v>
      </c>
      <c r="J110" s="19">
        <v>38</v>
      </c>
      <c r="K110" s="1" t="s">
        <v>1085</v>
      </c>
      <c r="L110" s="2" t="s">
        <v>433</v>
      </c>
      <c r="M110" s="19">
        <v>1999</v>
      </c>
      <c r="N110" s="1" t="s">
        <v>447</v>
      </c>
      <c r="O110" s="19">
        <v>997</v>
      </c>
      <c r="P110" s="1" t="s">
        <v>5</v>
      </c>
      <c r="Q110" s="19">
        <v>2</v>
      </c>
      <c r="R110" s="19">
        <v>1</v>
      </c>
      <c r="S110" s="19">
        <v>21</v>
      </c>
      <c r="T110" s="14">
        <v>79000</v>
      </c>
      <c r="U110" s="14">
        <v>76000</v>
      </c>
      <c r="V110" s="14">
        <v>38000</v>
      </c>
      <c r="W110" s="4">
        <f t="shared" si="3"/>
        <v>-3.7974683544303799E-2</v>
      </c>
      <c r="Z110" s="11">
        <f t="shared" si="4"/>
        <v>0.5</v>
      </c>
      <c r="AA110" s="19">
        <f t="shared" si="5"/>
        <v>38000</v>
      </c>
    </row>
    <row r="111" spans="2:27" x14ac:dyDescent="0.45">
      <c r="B111" s="7">
        <v>751</v>
      </c>
      <c r="C111" s="5" t="s">
        <v>242</v>
      </c>
      <c r="D111" s="5" t="s">
        <v>711</v>
      </c>
      <c r="E111" s="1" t="s">
        <v>724</v>
      </c>
      <c r="F111" s="1" t="s">
        <v>723</v>
      </c>
      <c r="G111" s="19">
        <v>5</v>
      </c>
      <c r="H111" s="19">
        <v>60</v>
      </c>
      <c r="I111" s="19">
        <v>70</v>
      </c>
      <c r="J111" s="19">
        <v>53</v>
      </c>
      <c r="K111" s="5" t="s">
        <v>384</v>
      </c>
      <c r="L111" s="2" t="s">
        <v>433</v>
      </c>
      <c r="M111" s="18">
        <v>1989</v>
      </c>
      <c r="N111" s="1" t="s">
        <v>434</v>
      </c>
      <c r="O111" s="18">
        <v>1890</v>
      </c>
      <c r="P111" s="5" t="s">
        <v>18</v>
      </c>
      <c r="Q111" s="18">
        <v>3</v>
      </c>
      <c r="R111" s="18">
        <v>1</v>
      </c>
      <c r="S111" s="18">
        <v>28</v>
      </c>
      <c r="T111" s="14">
        <v>89000</v>
      </c>
      <c r="U111" s="14">
        <v>77000</v>
      </c>
      <c r="V111" s="14">
        <v>44000</v>
      </c>
      <c r="W111" s="4">
        <f t="shared" si="3"/>
        <v>-0.1348314606741573</v>
      </c>
      <c r="Z111" s="11">
        <f t="shared" si="4"/>
        <v>0.5714285714285714</v>
      </c>
      <c r="AA111" s="19">
        <f t="shared" si="5"/>
        <v>33000</v>
      </c>
    </row>
    <row r="112" spans="2:27" x14ac:dyDescent="0.45">
      <c r="B112" s="7">
        <v>2260</v>
      </c>
      <c r="C112" s="1" t="s">
        <v>1181</v>
      </c>
      <c r="D112" s="1" t="s">
        <v>1182</v>
      </c>
      <c r="E112" s="1" t="s">
        <v>1184</v>
      </c>
      <c r="F112" s="1" t="s">
        <v>1183</v>
      </c>
      <c r="G112" s="19">
        <v>5</v>
      </c>
      <c r="H112" s="19">
        <v>45</v>
      </c>
      <c r="I112" s="19">
        <v>40</v>
      </c>
      <c r="J112" s="19">
        <v>20</v>
      </c>
      <c r="K112" s="1" t="s">
        <v>400</v>
      </c>
      <c r="L112" s="2" t="s">
        <v>433</v>
      </c>
      <c r="M112" s="19">
        <v>1992</v>
      </c>
      <c r="N112" s="1" t="s">
        <v>447</v>
      </c>
      <c r="O112" s="19">
        <v>585</v>
      </c>
      <c r="P112" s="1" t="s">
        <v>5</v>
      </c>
      <c r="Q112" s="19">
        <v>3</v>
      </c>
      <c r="R112" s="19">
        <v>1</v>
      </c>
      <c r="S112" s="19">
        <v>30</v>
      </c>
      <c r="T112" s="14">
        <v>89700</v>
      </c>
      <c r="U112" s="14">
        <v>77000</v>
      </c>
      <c r="V112" s="14">
        <v>50000</v>
      </c>
      <c r="W112" s="4">
        <f t="shared" si="3"/>
        <v>-0.14158305462653289</v>
      </c>
      <c r="Z112" s="11">
        <f t="shared" si="4"/>
        <v>0.64935064935064934</v>
      </c>
      <c r="AA112" s="19">
        <f t="shared" si="5"/>
        <v>27000</v>
      </c>
    </row>
    <row r="113" spans="2:27" x14ac:dyDescent="0.45">
      <c r="B113" s="7">
        <v>678</v>
      </c>
      <c r="C113" s="5" t="s">
        <v>35</v>
      </c>
      <c r="D113" s="1" t="s">
        <v>652</v>
      </c>
      <c r="E113" s="1" t="s">
        <v>653</v>
      </c>
      <c r="F113" s="1" t="s">
        <v>654</v>
      </c>
      <c r="G113" s="19">
        <v>3</v>
      </c>
      <c r="H113" s="19">
        <v>60</v>
      </c>
      <c r="I113" s="19">
        <v>45</v>
      </c>
      <c r="J113" s="19">
        <v>52</v>
      </c>
      <c r="K113" s="5" t="s">
        <v>414</v>
      </c>
      <c r="L113" s="2" t="s">
        <v>453</v>
      </c>
      <c r="M113" s="18">
        <v>2019</v>
      </c>
      <c r="N113" s="1" t="s">
        <v>434</v>
      </c>
      <c r="O113" s="18">
        <v>1170</v>
      </c>
      <c r="P113" s="5" t="s">
        <v>18</v>
      </c>
      <c r="Q113" s="18">
        <v>3</v>
      </c>
      <c r="R113" s="18">
        <v>2</v>
      </c>
      <c r="S113" s="18">
        <v>29</v>
      </c>
      <c r="T113" s="14">
        <v>89500</v>
      </c>
      <c r="U113" s="14">
        <v>78000</v>
      </c>
      <c r="V113" s="14">
        <v>48000</v>
      </c>
      <c r="W113" s="4">
        <f t="shared" si="3"/>
        <v>-0.12849162011173185</v>
      </c>
      <c r="Z113" s="11">
        <f t="shared" si="4"/>
        <v>0.61538461538461542</v>
      </c>
      <c r="AA113" s="19">
        <f t="shared" si="5"/>
        <v>30000</v>
      </c>
    </row>
    <row r="114" spans="2:27" x14ac:dyDescent="0.45">
      <c r="B114" s="7">
        <v>679</v>
      </c>
      <c r="C114" s="5" t="s">
        <v>35</v>
      </c>
      <c r="D114" s="1" t="s">
        <v>652</v>
      </c>
      <c r="E114" s="1" t="s">
        <v>653</v>
      </c>
      <c r="F114" s="1" t="s">
        <v>654</v>
      </c>
      <c r="G114" s="19">
        <v>3</v>
      </c>
      <c r="H114" s="19">
        <v>60</v>
      </c>
      <c r="I114" s="19">
        <v>45</v>
      </c>
      <c r="J114" s="19">
        <v>52</v>
      </c>
      <c r="K114" s="5" t="s">
        <v>414</v>
      </c>
      <c r="L114" s="2" t="s">
        <v>453</v>
      </c>
      <c r="M114" s="18">
        <v>2019</v>
      </c>
      <c r="N114" s="1" t="s">
        <v>434</v>
      </c>
      <c r="O114" s="18">
        <v>1170</v>
      </c>
      <c r="P114" s="5" t="s">
        <v>18</v>
      </c>
      <c r="Q114" s="18">
        <v>3</v>
      </c>
      <c r="R114" s="18">
        <v>2</v>
      </c>
      <c r="S114" s="18">
        <v>33</v>
      </c>
      <c r="T114" s="14">
        <v>105000</v>
      </c>
      <c r="U114" s="14">
        <v>78000</v>
      </c>
      <c r="V114" s="14">
        <v>46000</v>
      </c>
      <c r="W114" s="4">
        <f t="shared" si="3"/>
        <v>-0.25714285714285712</v>
      </c>
      <c r="Z114" s="11">
        <f t="shared" si="4"/>
        <v>0.58974358974358976</v>
      </c>
      <c r="AA114" s="19">
        <f t="shared" si="5"/>
        <v>32000</v>
      </c>
    </row>
    <row r="115" spans="2:27" x14ac:dyDescent="0.45">
      <c r="B115" s="7">
        <v>767</v>
      </c>
      <c r="C115" s="5" t="s">
        <v>726</v>
      </c>
      <c r="D115" s="5" t="s">
        <v>711</v>
      </c>
      <c r="E115" s="1" t="s">
        <v>737</v>
      </c>
      <c r="F115" s="1" t="s">
        <v>717</v>
      </c>
      <c r="G115" s="19">
        <v>7</v>
      </c>
      <c r="H115" s="19">
        <v>55</v>
      </c>
      <c r="I115" s="19">
        <v>65</v>
      </c>
      <c r="J115" s="19">
        <v>48</v>
      </c>
      <c r="K115" s="5" t="s">
        <v>247</v>
      </c>
      <c r="L115" s="2" t="s">
        <v>453</v>
      </c>
      <c r="M115" s="18">
        <v>2016</v>
      </c>
      <c r="N115" s="1" t="s">
        <v>440</v>
      </c>
      <c r="O115" s="18">
        <v>457</v>
      </c>
      <c r="P115" s="5" t="s">
        <v>18</v>
      </c>
      <c r="Q115" s="18">
        <v>3</v>
      </c>
      <c r="R115" s="18">
        <v>2</v>
      </c>
      <c r="S115" s="18">
        <v>24</v>
      </c>
      <c r="T115" s="14">
        <v>86000</v>
      </c>
      <c r="U115" s="14">
        <v>78000</v>
      </c>
      <c r="V115" s="14">
        <v>45000</v>
      </c>
      <c r="W115" s="4">
        <f t="shared" si="3"/>
        <v>-9.3023255813953487E-2</v>
      </c>
      <c r="Z115" s="11">
        <f t="shared" si="4"/>
        <v>0.57692307692307687</v>
      </c>
      <c r="AA115" s="19">
        <f t="shared" si="5"/>
        <v>33000</v>
      </c>
    </row>
    <row r="116" spans="2:27" x14ac:dyDescent="0.45">
      <c r="B116" s="7">
        <v>816</v>
      </c>
      <c r="C116" s="5" t="s">
        <v>114</v>
      </c>
      <c r="D116" s="5" t="s">
        <v>753</v>
      </c>
      <c r="E116" s="1" t="s">
        <v>779</v>
      </c>
      <c r="F116" s="1" t="s">
        <v>780</v>
      </c>
      <c r="G116" s="19">
        <v>5</v>
      </c>
      <c r="H116" s="19">
        <v>62</v>
      </c>
      <c r="I116" s="19">
        <v>72</v>
      </c>
      <c r="J116" s="19">
        <v>55</v>
      </c>
      <c r="K116" s="5" t="s">
        <v>115</v>
      </c>
      <c r="L116" s="2" t="s">
        <v>439</v>
      </c>
      <c r="M116" s="18">
        <v>2005</v>
      </c>
      <c r="N116" s="1" t="s">
        <v>440</v>
      </c>
      <c r="O116" s="18">
        <v>448</v>
      </c>
      <c r="P116" s="5" t="s">
        <v>18</v>
      </c>
      <c r="Q116" s="18">
        <v>3</v>
      </c>
      <c r="R116" s="18">
        <v>2</v>
      </c>
      <c r="S116" s="18">
        <v>33</v>
      </c>
      <c r="T116" s="14">
        <v>84000</v>
      </c>
      <c r="U116" s="14">
        <v>78000</v>
      </c>
      <c r="V116" s="14">
        <v>45000</v>
      </c>
      <c r="W116" s="4">
        <f t="shared" si="3"/>
        <v>-7.1428571428571425E-2</v>
      </c>
      <c r="Z116" s="11">
        <f t="shared" si="4"/>
        <v>0.57692307692307687</v>
      </c>
      <c r="AA116" s="19">
        <f t="shared" si="5"/>
        <v>33000</v>
      </c>
    </row>
    <row r="117" spans="2:27" x14ac:dyDescent="0.45">
      <c r="B117" s="7">
        <v>2151</v>
      </c>
      <c r="C117" s="1" t="s">
        <v>226</v>
      </c>
      <c r="D117" s="1" t="s">
        <v>1150</v>
      </c>
      <c r="E117" s="1" t="s">
        <v>1162</v>
      </c>
      <c r="F117" s="1" t="s">
        <v>1158</v>
      </c>
      <c r="G117" s="19">
        <v>6</v>
      </c>
      <c r="H117" s="19">
        <v>63</v>
      </c>
      <c r="I117" s="19">
        <v>48</v>
      </c>
      <c r="J117" s="19">
        <v>38</v>
      </c>
      <c r="K117" s="2" t="s">
        <v>350</v>
      </c>
      <c r="L117" s="2" t="s">
        <v>439</v>
      </c>
      <c r="M117" s="19">
        <v>2011</v>
      </c>
      <c r="N117" s="1" t="s">
        <v>434</v>
      </c>
      <c r="O117" s="19">
        <v>1106</v>
      </c>
      <c r="P117" s="1" t="s">
        <v>18</v>
      </c>
      <c r="Q117" s="19">
        <v>3</v>
      </c>
      <c r="R117" s="19">
        <v>2</v>
      </c>
      <c r="S117" s="19">
        <v>25</v>
      </c>
      <c r="T117" s="14">
        <v>88000</v>
      </c>
      <c r="U117" s="14">
        <v>78000</v>
      </c>
      <c r="V117" s="14">
        <v>49000</v>
      </c>
      <c r="W117" s="4">
        <f t="shared" si="3"/>
        <v>-0.11363636363636363</v>
      </c>
      <c r="Z117" s="11">
        <f t="shared" si="4"/>
        <v>0.62820512820512819</v>
      </c>
      <c r="AA117" s="19">
        <f t="shared" si="5"/>
        <v>29000</v>
      </c>
    </row>
    <row r="118" spans="2:27" x14ac:dyDescent="0.45">
      <c r="B118" s="7">
        <v>2166</v>
      </c>
      <c r="C118" s="1" t="s">
        <v>226</v>
      </c>
      <c r="D118" s="1" t="s">
        <v>1150</v>
      </c>
      <c r="E118" s="1" t="s">
        <v>1165</v>
      </c>
      <c r="F118" s="1" t="s">
        <v>1160</v>
      </c>
      <c r="G118" s="19">
        <v>3</v>
      </c>
      <c r="H118" s="19">
        <v>52</v>
      </c>
      <c r="I118" s="19">
        <v>42</v>
      </c>
      <c r="J118" s="19">
        <v>25</v>
      </c>
      <c r="K118" s="2" t="s">
        <v>347</v>
      </c>
      <c r="L118" s="2" t="s">
        <v>439</v>
      </c>
      <c r="M118" s="19">
        <v>2013</v>
      </c>
      <c r="N118" s="1" t="s">
        <v>440</v>
      </c>
      <c r="O118" s="19">
        <v>350</v>
      </c>
      <c r="P118" s="1" t="s">
        <v>18</v>
      </c>
      <c r="Q118" s="19">
        <v>3</v>
      </c>
      <c r="R118" s="19">
        <v>2</v>
      </c>
      <c r="S118" s="19">
        <v>24</v>
      </c>
      <c r="T118" s="14">
        <v>85700</v>
      </c>
      <c r="U118" s="14">
        <v>78000</v>
      </c>
      <c r="V118" s="14">
        <v>48000</v>
      </c>
      <c r="W118" s="4">
        <f t="shared" si="3"/>
        <v>-8.9848308051341891E-2</v>
      </c>
      <c r="Z118" s="11">
        <f t="shared" si="4"/>
        <v>0.61538461538461542</v>
      </c>
      <c r="AA118" s="19">
        <f t="shared" si="5"/>
        <v>30000</v>
      </c>
    </row>
    <row r="119" spans="2:27" x14ac:dyDescent="0.45">
      <c r="B119" s="7">
        <v>683</v>
      </c>
      <c r="C119" s="5" t="s">
        <v>33</v>
      </c>
      <c r="D119" s="1" t="s">
        <v>652</v>
      </c>
      <c r="E119" s="1" t="s">
        <v>658</v>
      </c>
      <c r="F119" s="1" t="s">
        <v>659</v>
      </c>
      <c r="G119" s="19">
        <v>5</v>
      </c>
      <c r="H119" s="19">
        <v>55</v>
      </c>
      <c r="I119" s="19">
        <v>40</v>
      </c>
      <c r="J119" s="19">
        <v>45</v>
      </c>
      <c r="K119" s="5" t="s">
        <v>332</v>
      </c>
      <c r="L119" s="2" t="s">
        <v>439</v>
      </c>
      <c r="M119" s="18">
        <v>2010</v>
      </c>
      <c r="N119" s="1" t="s">
        <v>447</v>
      </c>
      <c r="O119" s="18">
        <v>999</v>
      </c>
      <c r="P119" s="5" t="s">
        <v>18</v>
      </c>
      <c r="Q119" s="18">
        <v>3</v>
      </c>
      <c r="R119" s="18">
        <v>2</v>
      </c>
      <c r="S119" s="18">
        <v>33</v>
      </c>
      <c r="T119" s="14">
        <v>100000</v>
      </c>
      <c r="U119" s="14">
        <v>79000</v>
      </c>
      <c r="V119" s="14">
        <v>51000</v>
      </c>
      <c r="W119" s="4">
        <f t="shared" si="3"/>
        <v>-0.21</v>
      </c>
      <c r="Z119" s="11">
        <f t="shared" si="4"/>
        <v>0.64556962025316456</v>
      </c>
      <c r="AA119" s="19">
        <f t="shared" si="5"/>
        <v>28000</v>
      </c>
    </row>
    <row r="120" spans="2:27" x14ac:dyDescent="0.45">
      <c r="B120" s="7">
        <v>747</v>
      </c>
      <c r="C120" s="5" t="s">
        <v>242</v>
      </c>
      <c r="D120" s="5" t="s">
        <v>711</v>
      </c>
      <c r="E120" s="1" t="s">
        <v>720</v>
      </c>
      <c r="F120" s="1" t="s">
        <v>721</v>
      </c>
      <c r="G120" s="19">
        <v>3</v>
      </c>
      <c r="H120" s="19">
        <v>58</v>
      </c>
      <c r="I120" s="19">
        <v>68</v>
      </c>
      <c r="J120" s="19">
        <v>51</v>
      </c>
      <c r="K120" s="5" t="s">
        <v>385</v>
      </c>
      <c r="L120" s="2" t="s">
        <v>433</v>
      </c>
      <c r="M120" s="18">
        <v>1992</v>
      </c>
      <c r="N120" s="1" t="s">
        <v>434</v>
      </c>
      <c r="O120" s="18">
        <v>2328</v>
      </c>
      <c r="P120" s="5" t="s">
        <v>5</v>
      </c>
      <c r="Q120" s="18">
        <v>2</v>
      </c>
      <c r="R120" s="18">
        <v>1</v>
      </c>
      <c r="S120" s="18">
        <v>24</v>
      </c>
      <c r="T120" s="14">
        <v>89700</v>
      </c>
      <c r="U120" s="14">
        <v>79000</v>
      </c>
      <c r="V120" s="14">
        <v>40000</v>
      </c>
      <c r="W120" s="4">
        <f t="shared" si="3"/>
        <v>-0.11928651059085842</v>
      </c>
      <c r="Z120" s="11">
        <f t="shared" si="4"/>
        <v>0.50632911392405067</v>
      </c>
      <c r="AA120" s="19">
        <f t="shared" si="5"/>
        <v>39000</v>
      </c>
    </row>
    <row r="121" spans="2:27" x14ac:dyDescent="0.45">
      <c r="B121" s="7">
        <v>2186</v>
      </c>
      <c r="C121" s="1" t="s">
        <v>1166</v>
      </c>
      <c r="D121" s="1" t="s">
        <v>1150</v>
      </c>
      <c r="E121" s="1" t="s">
        <v>1167</v>
      </c>
      <c r="F121" s="1" t="s">
        <v>1161</v>
      </c>
      <c r="G121" s="19">
        <v>8</v>
      </c>
      <c r="H121" s="19">
        <v>55</v>
      </c>
      <c r="I121" s="19">
        <v>35</v>
      </c>
      <c r="J121" s="19">
        <v>35</v>
      </c>
      <c r="K121" s="2" t="s">
        <v>304</v>
      </c>
      <c r="L121" s="2" t="s">
        <v>453</v>
      </c>
      <c r="M121" s="19">
        <v>2019</v>
      </c>
      <c r="N121" s="1" t="s">
        <v>440</v>
      </c>
      <c r="O121" s="19">
        <v>380</v>
      </c>
      <c r="P121" s="1" t="s">
        <v>18</v>
      </c>
      <c r="Q121" s="19">
        <v>3</v>
      </c>
      <c r="R121" s="19">
        <v>2</v>
      </c>
      <c r="S121" s="19">
        <v>25</v>
      </c>
      <c r="T121" s="14">
        <v>84500</v>
      </c>
      <c r="U121" s="14">
        <v>79000</v>
      </c>
      <c r="V121" s="14">
        <v>50000</v>
      </c>
      <c r="W121" s="4">
        <f t="shared" si="3"/>
        <v>-6.5088757396449703E-2</v>
      </c>
      <c r="Z121" s="11">
        <f t="shared" si="4"/>
        <v>0.63291139240506333</v>
      </c>
      <c r="AA121" s="19">
        <f t="shared" si="5"/>
        <v>29000</v>
      </c>
    </row>
    <row r="122" spans="2:27" x14ac:dyDescent="0.45">
      <c r="B122" s="7">
        <v>2315</v>
      </c>
      <c r="C122" s="5" t="s">
        <v>178</v>
      </c>
      <c r="D122" s="5" t="s">
        <v>1204</v>
      </c>
      <c r="E122" s="1" t="s">
        <v>1212</v>
      </c>
      <c r="F122" s="1" t="s">
        <v>1213</v>
      </c>
      <c r="G122" s="19">
        <v>6</v>
      </c>
      <c r="H122" s="19">
        <v>45</v>
      </c>
      <c r="I122" s="19">
        <v>55</v>
      </c>
      <c r="J122" s="19">
        <v>40</v>
      </c>
      <c r="K122" s="5" t="s">
        <v>255</v>
      </c>
      <c r="L122" s="2" t="s">
        <v>439</v>
      </c>
      <c r="M122" s="18">
        <v>2003</v>
      </c>
      <c r="N122" s="1" t="s">
        <v>447</v>
      </c>
      <c r="O122" s="18">
        <v>582</v>
      </c>
      <c r="P122" s="5" t="s">
        <v>18</v>
      </c>
      <c r="Q122" s="18">
        <v>3</v>
      </c>
      <c r="R122" s="18">
        <v>2</v>
      </c>
      <c r="S122" s="18">
        <v>33</v>
      </c>
      <c r="T122" s="14">
        <v>99000</v>
      </c>
      <c r="U122" s="14">
        <v>79000</v>
      </c>
      <c r="V122" s="14">
        <v>50000</v>
      </c>
      <c r="W122" s="4">
        <f t="shared" si="3"/>
        <v>-0.20202020202020202</v>
      </c>
      <c r="Z122" s="11">
        <f t="shared" si="4"/>
        <v>0.63291139240506333</v>
      </c>
      <c r="AA122" s="19">
        <f t="shared" si="5"/>
        <v>29000</v>
      </c>
    </row>
    <row r="123" spans="2:27" x14ac:dyDescent="0.45">
      <c r="B123" s="7">
        <v>437</v>
      </c>
      <c r="C123" s="1" t="s">
        <v>554</v>
      </c>
      <c r="D123" s="1" t="s">
        <v>555</v>
      </c>
      <c r="E123" s="1" t="s">
        <v>573</v>
      </c>
      <c r="F123" s="1" t="s">
        <v>574</v>
      </c>
      <c r="G123" s="19">
        <v>5</v>
      </c>
      <c r="H123" s="19">
        <v>62</v>
      </c>
      <c r="I123" s="19">
        <v>36</v>
      </c>
      <c r="J123" s="19">
        <v>49</v>
      </c>
      <c r="K123" s="2" t="s">
        <v>216</v>
      </c>
      <c r="L123" s="2" t="s">
        <v>433</v>
      </c>
      <c r="M123" s="19">
        <v>1993</v>
      </c>
      <c r="N123" s="1" t="s">
        <v>447</v>
      </c>
      <c r="O123" s="19">
        <v>686</v>
      </c>
      <c r="P123" s="1" t="s">
        <v>18</v>
      </c>
      <c r="Q123" s="19">
        <v>3</v>
      </c>
      <c r="R123" s="19">
        <v>1</v>
      </c>
      <c r="S123" s="19">
        <v>28</v>
      </c>
      <c r="T123" s="14">
        <v>89500</v>
      </c>
      <c r="U123" s="14">
        <v>80000</v>
      </c>
      <c r="V123" s="14">
        <v>47000</v>
      </c>
      <c r="W123" s="4">
        <f t="shared" si="3"/>
        <v>-0.10614525139664804</v>
      </c>
      <c r="Z123" s="11">
        <f t="shared" si="4"/>
        <v>0.58750000000000002</v>
      </c>
      <c r="AA123" s="19">
        <f t="shared" si="5"/>
        <v>33000</v>
      </c>
    </row>
    <row r="124" spans="2:27" x14ac:dyDescent="0.45">
      <c r="B124" s="7">
        <v>714</v>
      </c>
      <c r="C124" s="1" t="s">
        <v>33</v>
      </c>
      <c r="D124" s="1" t="s">
        <v>652</v>
      </c>
      <c r="E124" s="1" t="s">
        <v>686</v>
      </c>
      <c r="F124" s="1" t="s">
        <v>687</v>
      </c>
      <c r="G124" s="19">
        <v>6</v>
      </c>
      <c r="H124" s="19">
        <v>55</v>
      </c>
      <c r="I124" s="19">
        <v>35</v>
      </c>
      <c r="J124" s="19">
        <v>48</v>
      </c>
      <c r="K124" s="1" t="s">
        <v>50</v>
      </c>
      <c r="L124" s="2" t="s">
        <v>439</v>
      </c>
      <c r="M124" s="19">
        <v>2010</v>
      </c>
      <c r="N124" s="1" t="s">
        <v>440</v>
      </c>
      <c r="O124" s="19">
        <v>339</v>
      </c>
      <c r="P124" s="5" t="s">
        <v>18</v>
      </c>
      <c r="Q124" s="18">
        <v>3</v>
      </c>
      <c r="R124" s="19">
        <v>2</v>
      </c>
      <c r="S124" s="18">
        <v>24</v>
      </c>
      <c r="T124" s="14">
        <v>82250</v>
      </c>
      <c r="U124" s="14">
        <v>80000</v>
      </c>
      <c r="V124" s="14">
        <v>43000</v>
      </c>
      <c r="W124" s="4">
        <f t="shared" si="3"/>
        <v>-2.7355623100303952E-2</v>
      </c>
      <c r="Z124" s="11">
        <f t="shared" si="4"/>
        <v>0.53749999999999998</v>
      </c>
      <c r="AA124" s="19">
        <f t="shared" si="5"/>
        <v>37000</v>
      </c>
    </row>
    <row r="125" spans="2:27" x14ac:dyDescent="0.45">
      <c r="B125" s="7">
        <v>732</v>
      </c>
      <c r="C125" s="5" t="s">
        <v>703</v>
      </c>
      <c r="D125" s="5" t="s">
        <v>698</v>
      </c>
      <c r="E125" s="1" t="s">
        <v>706</v>
      </c>
      <c r="F125" s="1" t="s">
        <v>707</v>
      </c>
      <c r="G125" s="19">
        <v>6</v>
      </c>
      <c r="H125" s="19">
        <v>42</v>
      </c>
      <c r="I125" s="19">
        <v>26</v>
      </c>
      <c r="J125" s="19">
        <v>38</v>
      </c>
      <c r="K125" s="5" t="s">
        <v>122</v>
      </c>
      <c r="L125" s="2" t="s">
        <v>439</v>
      </c>
      <c r="M125" s="18">
        <v>2004</v>
      </c>
      <c r="N125" s="1" t="s">
        <v>447</v>
      </c>
      <c r="O125" s="18">
        <v>554</v>
      </c>
      <c r="P125" s="5" t="s">
        <v>18</v>
      </c>
      <c r="Q125" s="18">
        <v>3</v>
      </c>
      <c r="R125" s="18">
        <v>2</v>
      </c>
      <c r="S125" s="18">
        <v>33</v>
      </c>
      <c r="T125" s="14">
        <v>86000</v>
      </c>
      <c r="U125" s="14">
        <v>80000</v>
      </c>
      <c r="V125" s="14">
        <v>48000</v>
      </c>
      <c r="W125" s="4">
        <f t="shared" si="3"/>
        <v>-6.9767441860465115E-2</v>
      </c>
      <c r="Z125" s="11">
        <f t="shared" si="4"/>
        <v>0.6</v>
      </c>
      <c r="AA125" s="19">
        <f t="shared" si="5"/>
        <v>32000</v>
      </c>
    </row>
    <row r="126" spans="2:27" x14ac:dyDescent="0.45">
      <c r="B126" s="7">
        <v>786</v>
      </c>
      <c r="C126" s="5" t="s">
        <v>726</v>
      </c>
      <c r="D126" s="5" t="s">
        <v>711</v>
      </c>
      <c r="E126" s="1" t="s">
        <v>748</v>
      </c>
      <c r="F126" s="1" t="s">
        <v>749</v>
      </c>
      <c r="G126" s="19">
        <v>4</v>
      </c>
      <c r="H126" s="19">
        <v>45</v>
      </c>
      <c r="I126" s="19">
        <v>42</v>
      </c>
      <c r="J126" s="19">
        <v>32</v>
      </c>
      <c r="K126" s="5" t="s">
        <v>750</v>
      </c>
      <c r="L126" s="2" t="s">
        <v>433</v>
      </c>
      <c r="M126" s="18">
        <v>1999</v>
      </c>
      <c r="N126" s="1" t="s">
        <v>440</v>
      </c>
      <c r="O126" s="18">
        <v>452</v>
      </c>
      <c r="P126" s="5" t="s">
        <v>18</v>
      </c>
      <c r="Q126" s="18">
        <v>3</v>
      </c>
      <c r="R126" s="18">
        <v>2</v>
      </c>
      <c r="S126" s="18">
        <v>33</v>
      </c>
      <c r="T126" s="14">
        <v>89500</v>
      </c>
      <c r="U126" s="14">
        <v>80000</v>
      </c>
      <c r="V126" s="14">
        <v>48000</v>
      </c>
      <c r="W126" s="4">
        <f t="shared" si="3"/>
        <v>-0.10614525139664804</v>
      </c>
      <c r="Z126" s="11">
        <f t="shared" si="4"/>
        <v>0.6</v>
      </c>
      <c r="AA126" s="19">
        <f t="shared" si="5"/>
        <v>32000</v>
      </c>
    </row>
    <row r="127" spans="2:27" x14ac:dyDescent="0.45">
      <c r="B127" s="7">
        <v>795</v>
      </c>
      <c r="C127" s="5" t="s">
        <v>394</v>
      </c>
      <c r="D127" s="5" t="s">
        <v>753</v>
      </c>
      <c r="E127" s="1" t="s">
        <v>762</v>
      </c>
      <c r="F127" s="1" t="s">
        <v>760</v>
      </c>
      <c r="G127" s="19">
        <v>4</v>
      </c>
      <c r="H127" s="19">
        <v>48</v>
      </c>
      <c r="I127" s="19">
        <v>60</v>
      </c>
      <c r="J127" s="19">
        <v>43</v>
      </c>
      <c r="K127" s="5" t="s">
        <v>398</v>
      </c>
      <c r="L127" s="2" t="s">
        <v>433</v>
      </c>
      <c r="M127" s="18">
        <v>1992</v>
      </c>
      <c r="N127" s="1" t="s">
        <v>434</v>
      </c>
      <c r="O127" s="18">
        <v>1668</v>
      </c>
      <c r="P127" s="5" t="s">
        <v>18</v>
      </c>
      <c r="Q127" s="18">
        <v>3</v>
      </c>
      <c r="R127" s="18">
        <v>1</v>
      </c>
      <c r="S127" s="18">
        <v>28</v>
      </c>
      <c r="T127" s="14">
        <v>92900</v>
      </c>
      <c r="U127" s="14">
        <v>80000</v>
      </c>
      <c r="V127" s="14">
        <v>43000</v>
      </c>
      <c r="W127" s="4">
        <f t="shared" si="3"/>
        <v>-0.13885898815931108</v>
      </c>
      <c r="Z127" s="11">
        <f t="shared" si="4"/>
        <v>0.53749999999999998</v>
      </c>
      <c r="AA127" s="19">
        <f t="shared" si="5"/>
        <v>37000</v>
      </c>
    </row>
    <row r="128" spans="2:27" x14ac:dyDescent="0.45">
      <c r="B128" s="7">
        <v>813</v>
      </c>
      <c r="C128" s="5" t="s">
        <v>212</v>
      </c>
      <c r="D128" s="5" t="s">
        <v>753</v>
      </c>
      <c r="E128" s="1" t="s">
        <v>775</v>
      </c>
      <c r="F128" s="1" t="s">
        <v>776</v>
      </c>
      <c r="G128" s="19">
        <v>3</v>
      </c>
      <c r="H128" s="19">
        <v>60</v>
      </c>
      <c r="I128" s="19">
        <v>70</v>
      </c>
      <c r="J128" s="19">
        <v>53</v>
      </c>
      <c r="K128" s="5" t="s">
        <v>213</v>
      </c>
      <c r="L128" s="2" t="s">
        <v>439</v>
      </c>
      <c r="M128" s="18">
        <v>2001</v>
      </c>
      <c r="N128" s="1" t="s">
        <v>434</v>
      </c>
      <c r="O128" s="18">
        <v>1278</v>
      </c>
      <c r="P128" s="5" t="s">
        <v>18</v>
      </c>
      <c r="Q128" s="18">
        <v>3</v>
      </c>
      <c r="R128" s="18">
        <v>2</v>
      </c>
      <c r="S128" s="18">
        <v>33</v>
      </c>
      <c r="T128" s="14">
        <v>102900</v>
      </c>
      <c r="U128" s="14">
        <v>80000</v>
      </c>
      <c r="V128" s="14">
        <v>55000</v>
      </c>
      <c r="W128" s="4">
        <f t="shared" si="3"/>
        <v>-0.22254616132167152</v>
      </c>
      <c r="Z128" s="11">
        <f t="shared" si="4"/>
        <v>0.6875</v>
      </c>
      <c r="AA128" s="19">
        <f t="shared" si="5"/>
        <v>25000</v>
      </c>
    </row>
    <row r="129" spans="2:27" x14ac:dyDescent="0.45">
      <c r="B129" s="7">
        <v>930</v>
      </c>
      <c r="C129" s="1" t="s">
        <v>95</v>
      </c>
      <c r="D129" s="1" t="s">
        <v>781</v>
      </c>
      <c r="E129" s="1" t="s">
        <v>814</v>
      </c>
      <c r="F129" s="1" t="s">
        <v>815</v>
      </c>
      <c r="G129" s="19">
        <v>5</v>
      </c>
      <c r="H129" s="19">
        <v>35</v>
      </c>
      <c r="I129" s="19">
        <v>27</v>
      </c>
      <c r="J129" s="19">
        <v>28</v>
      </c>
      <c r="K129" s="1" t="s">
        <v>96</v>
      </c>
      <c r="L129" s="2" t="s">
        <v>439</v>
      </c>
      <c r="M129" s="19">
        <v>2000</v>
      </c>
      <c r="N129" s="1" t="s">
        <v>447</v>
      </c>
      <c r="O129" s="19">
        <v>739</v>
      </c>
      <c r="P129" s="1" t="s">
        <v>5</v>
      </c>
      <c r="Q129" s="19">
        <v>3</v>
      </c>
      <c r="R129" s="19">
        <v>1</v>
      </c>
      <c r="S129" s="19">
        <v>25</v>
      </c>
      <c r="T129" s="14">
        <v>83700</v>
      </c>
      <c r="U129" s="14">
        <v>80000</v>
      </c>
      <c r="V129" s="14">
        <v>56000</v>
      </c>
      <c r="W129" s="4">
        <f t="shared" si="3"/>
        <v>-4.4205495818399047E-2</v>
      </c>
      <c r="Z129" s="11">
        <f t="shared" si="4"/>
        <v>0.7</v>
      </c>
      <c r="AA129" s="19">
        <f t="shared" si="5"/>
        <v>24000</v>
      </c>
    </row>
    <row r="130" spans="2:27" x14ac:dyDescent="0.45">
      <c r="B130" s="7">
        <v>1282</v>
      </c>
      <c r="C130" s="1" t="s">
        <v>901</v>
      </c>
      <c r="D130" s="1" t="s">
        <v>899</v>
      </c>
      <c r="E130" s="1" t="s">
        <v>907</v>
      </c>
      <c r="F130" s="1" t="s">
        <v>908</v>
      </c>
      <c r="G130" s="19">
        <v>5</v>
      </c>
      <c r="H130" s="19">
        <v>45</v>
      </c>
      <c r="I130" s="19">
        <v>35</v>
      </c>
      <c r="J130" s="19">
        <v>18</v>
      </c>
      <c r="K130" s="1" t="s">
        <v>359</v>
      </c>
      <c r="L130" s="2" t="s">
        <v>439</v>
      </c>
      <c r="M130" s="19">
        <v>2000</v>
      </c>
      <c r="N130" s="1" t="s">
        <v>447</v>
      </c>
      <c r="O130" s="19">
        <v>700</v>
      </c>
      <c r="P130" s="1" t="s">
        <v>5</v>
      </c>
      <c r="Q130" s="19">
        <v>3</v>
      </c>
      <c r="R130" s="19">
        <v>1</v>
      </c>
      <c r="S130" s="19">
        <v>25</v>
      </c>
      <c r="T130" s="14">
        <v>87000</v>
      </c>
      <c r="U130" s="14">
        <v>80000</v>
      </c>
      <c r="V130" s="14">
        <v>46000</v>
      </c>
      <c r="W130" s="4">
        <f t="shared" si="3"/>
        <v>-8.0459770114942528E-2</v>
      </c>
      <c r="Z130" s="11">
        <f t="shared" si="4"/>
        <v>0.57499999999999996</v>
      </c>
      <c r="AA130" s="19">
        <f t="shared" si="5"/>
        <v>34000</v>
      </c>
    </row>
    <row r="131" spans="2:27" x14ac:dyDescent="0.45">
      <c r="B131" s="7">
        <v>1600</v>
      </c>
      <c r="C131" s="1" t="s">
        <v>80</v>
      </c>
      <c r="D131" s="1" t="s">
        <v>998</v>
      </c>
      <c r="E131" s="1" t="s">
        <v>1002</v>
      </c>
      <c r="F131" s="1" t="s">
        <v>1003</v>
      </c>
      <c r="G131" s="19">
        <v>5</v>
      </c>
      <c r="H131" s="19">
        <v>50</v>
      </c>
      <c r="I131" s="19">
        <v>45</v>
      </c>
      <c r="J131" s="19">
        <v>35</v>
      </c>
      <c r="K131" s="1" t="s">
        <v>379</v>
      </c>
      <c r="L131" s="2" t="s">
        <v>439</v>
      </c>
      <c r="M131" s="19">
        <v>2008</v>
      </c>
      <c r="N131" s="1" t="s">
        <v>447</v>
      </c>
      <c r="O131" s="19">
        <v>522</v>
      </c>
      <c r="P131" s="1" t="s">
        <v>18</v>
      </c>
      <c r="Q131" s="19">
        <v>3</v>
      </c>
      <c r="R131" s="19">
        <v>2</v>
      </c>
      <c r="S131" s="19">
        <v>33</v>
      </c>
      <c r="T131" s="14">
        <v>94000</v>
      </c>
      <c r="U131" s="14">
        <v>80000</v>
      </c>
      <c r="V131" s="14">
        <v>55000</v>
      </c>
      <c r="W131" s="4">
        <f t="shared" si="3"/>
        <v>-0.14893617021276595</v>
      </c>
      <c r="Z131" s="11">
        <f t="shared" si="4"/>
        <v>0.6875</v>
      </c>
      <c r="AA131" s="19">
        <f t="shared" si="5"/>
        <v>25000</v>
      </c>
    </row>
    <row r="132" spans="2:27" x14ac:dyDescent="0.45">
      <c r="B132" s="7">
        <v>2187</v>
      </c>
      <c r="C132" s="1" t="s">
        <v>1166</v>
      </c>
      <c r="D132" s="1" t="s">
        <v>1150</v>
      </c>
      <c r="E132" s="1" t="s">
        <v>1167</v>
      </c>
      <c r="F132" s="1" t="s">
        <v>1161</v>
      </c>
      <c r="G132" s="19">
        <v>8</v>
      </c>
      <c r="H132" s="19">
        <v>55</v>
      </c>
      <c r="I132" s="19">
        <v>35</v>
      </c>
      <c r="J132" s="19">
        <v>35</v>
      </c>
      <c r="K132" s="2" t="s">
        <v>304</v>
      </c>
      <c r="L132" s="2" t="s">
        <v>453</v>
      </c>
      <c r="M132" s="19">
        <v>2019</v>
      </c>
      <c r="N132" s="1" t="s">
        <v>440</v>
      </c>
      <c r="O132" s="19">
        <v>380</v>
      </c>
      <c r="P132" s="1" t="s">
        <v>18</v>
      </c>
      <c r="Q132" s="19">
        <v>3</v>
      </c>
      <c r="R132" s="19">
        <v>2</v>
      </c>
      <c r="S132" s="19">
        <v>29</v>
      </c>
      <c r="T132" s="14">
        <v>87000</v>
      </c>
      <c r="U132" s="14">
        <v>80000</v>
      </c>
      <c r="V132" s="14">
        <v>50000</v>
      </c>
      <c r="W132" s="4">
        <f t="shared" si="3"/>
        <v>-8.0459770114942528E-2</v>
      </c>
      <c r="Z132" s="11">
        <f t="shared" si="4"/>
        <v>0.625</v>
      </c>
      <c r="AA132" s="19">
        <f t="shared" si="5"/>
        <v>30000</v>
      </c>
    </row>
    <row r="133" spans="2:27" x14ac:dyDescent="0.45">
      <c r="B133" s="7">
        <v>787</v>
      </c>
      <c r="C133" s="5" t="s">
        <v>726</v>
      </c>
      <c r="D133" s="5" t="s">
        <v>711</v>
      </c>
      <c r="E133" s="1" t="s">
        <v>751</v>
      </c>
      <c r="F133" s="1" t="s">
        <v>752</v>
      </c>
      <c r="G133" s="19">
        <v>5</v>
      </c>
      <c r="H133" s="19">
        <v>40</v>
      </c>
      <c r="I133" s="19">
        <v>50</v>
      </c>
      <c r="J133" s="19">
        <v>45</v>
      </c>
      <c r="K133" s="5" t="s">
        <v>56</v>
      </c>
      <c r="L133" s="2" t="s">
        <v>439</v>
      </c>
      <c r="M133" s="18">
        <v>2000</v>
      </c>
      <c r="N133" s="1" t="s">
        <v>440</v>
      </c>
      <c r="O133" s="18">
        <v>297</v>
      </c>
      <c r="P133" s="5" t="s">
        <v>18</v>
      </c>
      <c r="Q133" s="18">
        <v>3</v>
      </c>
      <c r="R133" s="18">
        <v>2</v>
      </c>
      <c r="S133" s="18">
        <v>33</v>
      </c>
      <c r="T133" s="14">
        <v>89300</v>
      </c>
      <c r="U133" s="14">
        <v>81000</v>
      </c>
      <c r="V133" s="14">
        <v>48000</v>
      </c>
      <c r="W133" s="4">
        <f t="shared" si="3"/>
        <v>-9.29451287793953E-2</v>
      </c>
      <c r="Z133" s="11">
        <f t="shared" si="4"/>
        <v>0.59259259259259256</v>
      </c>
      <c r="AA133" s="19">
        <f t="shared" si="5"/>
        <v>33000</v>
      </c>
    </row>
    <row r="134" spans="2:27" x14ac:dyDescent="0.45">
      <c r="B134" s="7">
        <v>839</v>
      </c>
      <c r="C134" s="1" t="s">
        <v>230</v>
      </c>
      <c r="D134" s="1" t="s">
        <v>781</v>
      </c>
      <c r="E134" s="1" t="s">
        <v>788</v>
      </c>
      <c r="F134" s="1" t="s">
        <v>785</v>
      </c>
      <c r="G134" s="19">
        <v>5</v>
      </c>
      <c r="H134" s="19">
        <v>50</v>
      </c>
      <c r="I134" s="19">
        <v>43</v>
      </c>
      <c r="J134" s="19">
        <v>40</v>
      </c>
      <c r="K134" s="1" t="s">
        <v>419</v>
      </c>
      <c r="L134" s="2" t="s">
        <v>439</v>
      </c>
      <c r="M134" s="19">
        <v>2005</v>
      </c>
      <c r="N134" s="1" t="s">
        <v>440</v>
      </c>
      <c r="O134" s="19">
        <v>216</v>
      </c>
      <c r="P134" s="1" t="s">
        <v>18</v>
      </c>
      <c r="Q134" s="19">
        <v>3</v>
      </c>
      <c r="R134" s="19">
        <v>2</v>
      </c>
      <c r="S134" s="19">
        <v>33</v>
      </c>
      <c r="T134" s="14">
        <v>86000</v>
      </c>
      <c r="U134" s="14">
        <v>81000</v>
      </c>
      <c r="V134" s="14">
        <v>52000</v>
      </c>
      <c r="W134" s="4">
        <f t="shared" ref="W134:W197" si="6">(U134-$T134)/$T134</f>
        <v>-5.8139534883720929E-2</v>
      </c>
      <c r="Z134" s="11">
        <f t="shared" ref="Z134:Z197" si="7">V134/U134</f>
        <v>0.64197530864197527</v>
      </c>
      <c r="AA134" s="19">
        <f t="shared" ref="AA134:AA197" si="8">U134-V134</f>
        <v>29000</v>
      </c>
    </row>
    <row r="135" spans="2:27" x14ac:dyDescent="0.45">
      <c r="B135" s="7">
        <v>1856</v>
      </c>
      <c r="C135" s="1" t="s">
        <v>1037</v>
      </c>
      <c r="D135" s="1" t="s">
        <v>1032</v>
      </c>
      <c r="E135" s="1" t="s">
        <v>1072</v>
      </c>
      <c r="F135" s="1" t="s">
        <v>1071</v>
      </c>
      <c r="G135" s="19">
        <v>6</v>
      </c>
      <c r="H135" s="19">
        <v>40</v>
      </c>
      <c r="I135" s="19">
        <v>55</v>
      </c>
      <c r="J135" s="19">
        <v>55</v>
      </c>
      <c r="K135" s="2" t="s">
        <v>43</v>
      </c>
      <c r="L135" s="2" t="s">
        <v>433</v>
      </c>
      <c r="M135" s="19">
        <v>1999</v>
      </c>
      <c r="N135" s="1" t="s">
        <v>440</v>
      </c>
      <c r="O135" s="19">
        <v>257</v>
      </c>
      <c r="P135" s="1" t="s">
        <v>5</v>
      </c>
      <c r="Q135" s="19">
        <v>3</v>
      </c>
      <c r="R135" s="19">
        <v>1</v>
      </c>
      <c r="S135" s="19">
        <v>25</v>
      </c>
      <c r="T135" s="14">
        <v>86700</v>
      </c>
      <c r="U135" s="14">
        <v>81000</v>
      </c>
      <c r="V135" s="14">
        <v>45000</v>
      </c>
      <c r="W135" s="4">
        <f t="shared" si="6"/>
        <v>-6.5743944636678195E-2</v>
      </c>
      <c r="Z135" s="11">
        <f t="shared" si="7"/>
        <v>0.55555555555555558</v>
      </c>
      <c r="AA135" s="19">
        <f t="shared" si="8"/>
        <v>36000</v>
      </c>
    </row>
    <row r="136" spans="2:27" x14ac:dyDescent="0.45">
      <c r="B136" s="7">
        <v>728</v>
      </c>
      <c r="C136" s="5" t="s">
        <v>285</v>
      </c>
      <c r="D136" s="5" t="s">
        <v>698</v>
      </c>
      <c r="E136" s="1" t="s">
        <v>701</v>
      </c>
      <c r="F136" s="1" t="s">
        <v>702</v>
      </c>
      <c r="G136" s="19">
        <v>5</v>
      </c>
      <c r="H136" s="19">
        <v>48</v>
      </c>
      <c r="I136" s="19">
        <v>32</v>
      </c>
      <c r="J136" s="19">
        <v>44</v>
      </c>
      <c r="K136" s="5" t="s">
        <v>286</v>
      </c>
      <c r="L136" s="2" t="s">
        <v>439</v>
      </c>
      <c r="M136" s="18">
        <v>2014</v>
      </c>
      <c r="N136" s="1" t="s">
        <v>434</v>
      </c>
      <c r="O136" s="18">
        <v>1764</v>
      </c>
      <c r="P136" s="5" t="s">
        <v>18</v>
      </c>
      <c r="Q136" s="18">
        <v>3</v>
      </c>
      <c r="R136" s="18">
        <v>2</v>
      </c>
      <c r="S136" s="18">
        <v>24</v>
      </c>
      <c r="T136" s="14">
        <v>87900</v>
      </c>
      <c r="U136" s="14">
        <v>82000</v>
      </c>
      <c r="V136" s="14">
        <v>50000</v>
      </c>
      <c r="W136" s="4">
        <f t="shared" si="6"/>
        <v>-6.7121729237770197E-2</v>
      </c>
      <c r="Z136" s="11">
        <f t="shared" si="7"/>
        <v>0.6097560975609756</v>
      </c>
      <c r="AA136" s="19">
        <f t="shared" si="8"/>
        <v>32000</v>
      </c>
    </row>
    <row r="137" spans="2:27" x14ac:dyDescent="0.45">
      <c r="B137" s="7">
        <v>781</v>
      </c>
      <c r="C137" s="5" t="s">
        <v>726</v>
      </c>
      <c r="D137" s="5" t="s">
        <v>711</v>
      </c>
      <c r="E137" s="1" t="s">
        <v>743</v>
      </c>
      <c r="F137" s="1" t="s">
        <v>744</v>
      </c>
      <c r="G137" s="19">
        <v>5</v>
      </c>
      <c r="H137" s="19">
        <v>42</v>
      </c>
      <c r="I137" s="19">
        <v>52</v>
      </c>
      <c r="J137" s="19">
        <v>40</v>
      </c>
      <c r="K137" s="5" t="s">
        <v>57</v>
      </c>
      <c r="L137" s="2" t="s">
        <v>439</v>
      </c>
      <c r="M137" s="18">
        <v>2001</v>
      </c>
      <c r="N137" s="1" t="s">
        <v>434</v>
      </c>
      <c r="O137" s="18">
        <v>1601</v>
      </c>
      <c r="P137" s="5" t="s">
        <v>18</v>
      </c>
      <c r="Q137" s="18">
        <v>3</v>
      </c>
      <c r="R137" s="18">
        <v>2</v>
      </c>
      <c r="S137" s="18">
        <v>33</v>
      </c>
      <c r="T137" s="14">
        <v>100000</v>
      </c>
      <c r="U137" s="14">
        <v>82000</v>
      </c>
      <c r="V137" s="14">
        <v>46000</v>
      </c>
      <c r="W137" s="4">
        <f t="shared" si="6"/>
        <v>-0.18</v>
      </c>
      <c r="Z137" s="11">
        <f t="shared" si="7"/>
        <v>0.56097560975609762</v>
      </c>
      <c r="AA137" s="19">
        <f t="shared" si="8"/>
        <v>36000</v>
      </c>
    </row>
    <row r="138" spans="2:27" x14ac:dyDescent="0.45">
      <c r="B138" s="7">
        <v>1613</v>
      </c>
      <c r="C138" s="1" t="s">
        <v>13</v>
      </c>
      <c r="D138" s="1" t="s">
        <v>998</v>
      </c>
      <c r="E138" s="1" t="s">
        <v>1005</v>
      </c>
      <c r="F138" s="1" t="s">
        <v>1006</v>
      </c>
      <c r="G138" s="19">
        <v>5</v>
      </c>
      <c r="H138" s="19">
        <v>55</v>
      </c>
      <c r="I138" s="19">
        <v>48</v>
      </c>
      <c r="J138" s="19">
        <v>35</v>
      </c>
      <c r="K138" s="6" t="s">
        <v>1007</v>
      </c>
      <c r="L138" s="2" t="s">
        <v>439</v>
      </c>
      <c r="M138" s="19">
        <v>2009</v>
      </c>
      <c r="N138" s="1" t="s">
        <v>447</v>
      </c>
      <c r="O138" s="19">
        <v>527</v>
      </c>
      <c r="P138" s="1" t="s">
        <v>18</v>
      </c>
      <c r="Q138" s="19">
        <v>3</v>
      </c>
      <c r="R138" s="19">
        <v>2</v>
      </c>
      <c r="S138" s="19">
        <v>25</v>
      </c>
      <c r="T138" s="14">
        <v>87500</v>
      </c>
      <c r="U138" s="14">
        <v>82000</v>
      </c>
      <c r="V138" s="14">
        <v>48000</v>
      </c>
      <c r="W138" s="4">
        <f t="shared" si="6"/>
        <v>-6.2857142857142861E-2</v>
      </c>
      <c r="Z138" s="11">
        <f t="shared" si="7"/>
        <v>0.58536585365853655</v>
      </c>
      <c r="AA138" s="19">
        <f t="shared" si="8"/>
        <v>34000</v>
      </c>
    </row>
    <row r="139" spans="2:27" x14ac:dyDescent="0.45">
      <c r="B139" s="7">
        <v>1903</v>
      </c>
      <c r="C139" s="1" t="s">
        <v>305</v>
      </c>
      <c r="D139" s="1" t="s">
        <v>1077</v>
      </c>
      <c r="E139" s="1" t="s">
        <v>1081</v>
      </c>
      <c r="F139" s="1" t="s">
        <v>1082</v>
      </c>
      <c r="G139" s="19">
        <v>7</v>
      </c>
      <c r="H139" s="19">
        <v>55</v>
      </c>
      <c r="I139" s="19">
        <v>30</v>
      </c>
      <c r="J139" s="19">
        <v>40</v>
      </c>
      <c r="K139" s="1" t="s">
        <v>407</v>
      </c>
      <c r="L139" s="2" t="s">
        <v>439</v>
      </c>
      <c r="M139" s="19">
        <v>2002</v>
      </c>
      <c r="N139" s="1" t="s">
        <v>440</v>
      </c>
      <c r="O139" s="19">
        <v>390</v>
      </c>
      <c r="P139" s="1" t="s">
        <v>18</v>
      </c>
      <c r="Q139" s="19">
        <v>3</v>
      </c>
      <c r="R139" s="19">
        <v>2</v>
      </c>
      <c r="S139" s="19">
        <v>33</v>
      </c>
      <c r="T139" s="14">
        <v>92000</v>
      </c>
      <c r="U139" s="14">
        <v>82000</v>
      </c>
      <c r="V139" s="14">
        <v>39400</v>
      </c>
      <c r="W139" s="4">
        <f t="shared" si="6"/>
        <v>-0.10869565217391304</v>
      </c>
      <c r="Z139" s="11">
        <f t="shared" si="7"/>
        <v>0.48048780487804876</v>
      </c>
      <c r="AA139" s="19">
        <f t="shared" si="8"/>
        <v>42600</v>
      </c>
    </row>
    <row r="140" spans="2:27" x14ac:dyDescent="0.45">
      <c r="B140" s="7">
        <v>2227</v>
      </c>
      <c r="C140" s="1" t="s">
        <v>226</v>
      </c>
      <c r="D140" s="1" t="s">
        <v>1150</v>
      </c>
      <c r="E140" s="1" t="s">
        <v>1176</v>
      </c>
      <c r="F140" s="1" t="s">
        <v>1175</v>
      </c>
      <c r="G140" s="19">
        <v>8</v>
      </c>
      <c r="H140" s="19">
        <v>52</v>
      </c>
      <c r="I140" s="19">
        <v>48</v>
      </c>
      <c r="J140" s="19">
        <v>28</v>
      </c>
      <c r="K140" s="2" t="s">
        <v>227</v>
      </c>
      <c r="L140" s="2" t="s">
        <v>439</v>
      </c>
      <c r="M140" s="19">
        <v>2009</v>
      </c>
      <c r="N140" s="1" t="s">
        <v>447</v>
      </c>
      <c r="O140" s="19">
        <v>603</v>
      </c>
      <c r="P140" s="1" t="s">
        <v>18</v>
      </c>
      <c r="Q140" s="19">
        <v>3</v>
      </c>
      <c r="R140" s="19">
        <v>2</v>
      </c>
      <c r="S140" s="19">
        <v>25</v>
      </c>
      <c r="T140" s="14">
        <v>86000</v>
      </c>
      <c r="U140" s="14">
        <v>82000</v>
      </c>
      <c r="V140" s="14">
        <v>48000</v>
      </c>
      <c r="W140" s="4">
        <f t="shared" si="6"/>
        <v>-4.6511627906976744E-2</v>
      </c>
      <c r="Z140" s="11">
        <f t="shared" si="7"/>
        <v>0.58536585365853655</v>
      </c>
      <c r="AA140" s="19">
        <f t="shared" si="8"/>
        <v>34000</v>
      </c>
    </row>
    <row r="141" spans="2:27" x14ac:dyDescent="0.45">
      <c r="B141" s="7">
        <v>2308</v>
      </c>
      <c r="C141" s="5" t="s">
        <v>179</v>
      </c>
      <c r="D141" s="5" t="s">
        <v>1204</v>
      </c>
      <c r="E141" s="1" t="s">
        <v>1207</v>
      </c>
      <c r="F141" s="1" t="s">
        <v>1208</v>
      </c>
      <c r="G141" s="19">
        <v>4</v>
      </c>
      <c r="H141" s="19">
        <v>55</v>
      </c>
      <c r="I141" s="19">
        <v>65</v>
      </c>
      <c r="J141" s="19">
        <v>50</v>
      </c>
      <c r="K141" s="5" t="s">
        <v>294</v>
      </c>
      <c r="L141" s="2" t="s">
        <v>433</v>
      </c>
      <c r="M141" s="18">
        <v>1997</v>
      </c>
      <c r="N141" s="1" t="s">
        <v>447</v>
      </c>
      <c r="O141" s="18">
        <v>800</v>
      </c>
      <c r="P141" s="5" t="s">
        <v>18</v>
      </c>
      <c r="Q141" s="18">
        <v>3</v>
      </c>
      <c r="R141" s="18">
        <v>2</v>
      </c>
      <c r="S141" s="18">
        <v>33</v>
      </c>
      <c r="T141" s="14">
        <v>79000</v>
      </c>
      <c r="U141" s="14">
        <v>82000</v>
      </c>
      <c r="V141" s="14">
        <v>47000</v>
      </c>
      <c r="W141" s="4">
        <f t="shared" si="6"/>
        <v>3.7974683544303799E-2</v>
      </c>
      <c r="Z141" s="11">
        <f t="shared" si="7"/>
        <v>0.57317073170731703</v>
      </c>
      <c r="AA141" s="19">
        <f t="shared" si="8"/>
        <v>35000</v>
      </c>
    </row>
    <row r="142" spans="2:27" x14ac:dyDescent="0.45">
      <c r="B142" s="7">
        <v>525</v>
      </c>
      <c r="C142" s="1" t="s">
        <v>26</v>
      </c>
      <c r="D142" s="1" t="s">
        <v>555</v>
      </c>
      <c r="E142" s="1" t="s">
        <v>595</v>
      </c>
      <c r="F142" s="1" t="s">
        <v>587</v>
      </c>
      <c r="G142" s="19">
        <v>5</v>
      </c>
      <c r="H142" s="19">
        <v>44</v>
      </c>
      <c r="I142" s="19">
        <v>20</v>
      </c>
      <c r="J142" s="19">
        <v>33</v>
      </c>
      <c r="K142" s="2" t="s">
        <v>128</v>
      </c>
      <c r="L142" s="2" t="s">
        <v>439</v>
      </c>
      <c r="M142" s="19">
        <v>2000</v>
      </c>
      <c r="N142" s="1" t="s">
        <v>440</v>
      </c>
      <c r="O142" s="19">
        <v>241</v>
      </c>
      <c r="P142" s="1" t="s">
        <v>5</v>
      </c>
      <c r="Q142" s="19">
        <v>3</v>
      </c>
      <c r="R142" s="19">
        <v>1</v>
      </c>
      <c r="S142" s="19">
        <v>24</v>
      </c>
      <c r="T142" s="14">
        <v>62300</v>
      </c>
      <c r="U142" s="14">
        <v>83000</v>
      </c>
      <c r="V142" s="14">
        <v>47000</v>
      </c>
      <c r="W142" s="4">
        <f t="shared" si="6"/>
        <v>0.33226324237560195</v>
      </c>
      <c r="Z142" s="11">
        <f t="shared" si="7"/>
        <v>0.5662650602409639</v>
      </c>
      <c r="AA142" s="19">
        <f t="shared" si="8"/>
        <v>36000</v>
      </c>
    </row>
    <row r="143" spans="2:27" x14ac:dyDescent="0.45">
      <c r="B143" s="7">
        <v>681</v>
      </c>
      <c r="C143" s="1" t="s">
        <v>33</v>
      </c>
      <c r="D143" s="1" t="s">
        <v>652</v>
      </c>
      <c r="E143" s="1" t="s">
        <v>656</v>
      </c>
      <c r="F143" s="1" t="s">
        <v>657</v>
      </c>
      <c r="G143" s="19">
        <v>4</v>
      </c>
      <c r="H143" s="19">
        <v>50</v>
      </c>
      <c r="I143" s="19">
        <v>40</v>
      </c>
      <c r="J143" s="19">
        <v>45</v>
      </c>
      <c r="K143" s="1" t="s">
        <v>401</v>
      </c>
      <c r="L143" s="2" t="s">
        <v>439</v>
      </c>
      <c r="M143" s="19">
        <v>2011</v>
      </c>
      <c r="N143" s="1" t="s">
        <v>434</v>
      </c>
      <c r="O143" s="19">
        <v>1044</v>
      </c>
      <c r="P143" s="5" t="s">
        <v>18</v>
      </c>
      <c r="Q143" s="18">
        <v>3</v>
      </c>
      <c r="R143" s="18">
        <v>2</v>
      </c>
      <c r="S143" s="18">
        <v>33</v>
      </c>
      <c r="T143" s="14">
        <v>76000</v>
      </c>
      <c r="U143" s="14">
        <v>83000</v>
      </c>
      <c r="V143" s="14">
        <v>50000</v>
      </c>
      <c r="W143" s="4">
        <f t="shared" si="6"/>
        <v>9.2105263157894732E-2</v>
      </c>
      <c r="Z143" s="11">
        <f t="shared" si="7"/>
        <v>0.60240963855421692</v>
      </c>
      <c r="AA143" s="19">
        <f t="shared" si="8"/>
        <v>33000</v>
      </c>
    </row>
    <row r="144" spans="2:27" x14ac:dyDescent="0.45">
      <c r="B144" s="7">
        <v>720</v>
      </c>
      <c r="C144" s="1" t="s">
        <v>35</v>
      </c>
      <c r="D144" s="1" t="s">
        <v>652</v>
      </c>
      <c r="E144" s="1" t="s">
        <v>693</v>
      </c>
      <c r="F144" s="1" t="s">
        <v>684</v>
      </c>
      <c r="G144" s="19">
        <v>4</v>
      </c>
      <c r="H144" s="19">
        <v>46</v>
      </c>
      <c r="I144" s="19">
        <v>26</v>
      </c>
      <c r="J144" s="19">
        <v>39</v>
      </c>
      <c r="K144" s="1" t="s">
        <v>694</v>
      </c>
      <c r="L144" s="2" t="s">
        <v>433</v>
      </c>
      <c r="M144" s="19">
        <v>1999</v>
      </c>
      <c r="N144" s="1" t="s">
        <v>434</v>
      </c>
      <c r="O144" s="19">
        <v>1983</v>
      </c>
      <c r="P144" s="5" t="s">
        <v>18</v>
      </c>
      <c r="Q144" s="18">
        <v>3</v>
      </c>
      <c r="R144" s="19">
        <v>1</v>
      </c>
      <c r="S144" s="18">
        <v>24</v>
      </c>
      <c r="T144" s="14">
        <v>86000</v>
      </c>
      <c r="U144" s="14">
        <v>83000</v>
      </c>
      <c r="V144" s="14">
        <v>48000</v>
      </c>
      <c r="W144" s="4">
        <f t="shared" si="6"/>
        <v>-3.4883720930232558E-2</v>
      </c>
      <c r="Z144" s="11">
        <f t="shared" si="7"/>
        <v>0.57831325301204817</v>
      </c>
      <c r="AA144" s="19">
        <f t="shared" si="8"/>
        <v>35000</v>
      </c>
    </row>
    <row r="145" spans="2:27" x14ac:dyDescent="0.45">
      <c r="B145" s="7">
        <v>745</v>
      </c>
      <c r="C145" s="5" t="s">
        <v>242</v>
      </c>
      <c r="D145" s="5" t="s">
        <v>711</v>
      </c>
      <c r="E145" s="1" t="s">
        <v>718</v>
      </c>
      <c r="F145" s="1" t="s">
        <v>717</v>
      </c>
      <c r="G145" s="19">
        <v>5</v>
      </c>
      <c r="H145" s="19">
        <v>55</v>
      </c>
      <c r="I145" s="19">
        <v>65</v>
      </c>
      <c r="J145" s="19">
        <v>48</v>
      </c>
      <c r="K145" s="5" t="s">
        <v>719</v>
      </c>
      <c r="L145" s="2" t="s">
        <v>439</v>
      </c>
      <c r="M145" s="18">
        <v>2005</v>
      </c>
      <c r="N145" s="1" t="s">
        <v>440</v>
      </c>
      <c r="O145" s="18">
        <v>448</v>
      </c>
      <c r="P145" s="5" t="s">
        <v>18</v>
      </c>
      <c r="Q145" s="18">
        <v>3</v>
      </c>
      <c r="R145" s="18">
        <v>2</v>
      </c>
      <c r="S145" s="18">
        <v>33</v>
      </c>
      <c r="T145" s="14">
        <v>104500</v>
      </c>
      <c r="U145" s="14">
        <v>83000</v>
      </c>
      <c r="V145" s="14">
        <v>58000</v>
      </c>
      <c r="W145" s="4">
        <f t="shared" si="6"/>
        <v>-0.20574162679425836</v>
      </c>
      <c r="Z145" s="11">
        <f t="shared" si="7"/>
        <v>0.6987951807228916</v>
      </c>
      <c r="AA145" s="19">
        <f t="shared" si="8"/>
        <v>25000</v>
      </c>
    </row>
    <row r="146" spans="2:27" x14ac:dyDescent="0.45">
      <c r="B146" s="7">
        <v>788</v>
      </c>
      <c r="C146" s="5" t="s">
        <v>310</v>
      </c>
      <c r="D146" s="5" t="s">
        <v>753</v>
      </c>
      <c r="E146" s="1" t="s">
        <v>754</v>
      </c>
      <c r="F146" s="1" t="s">
        <v>755</v>
      </c>
      <c r="G146" s="19">
        <v>4</v>
      </c>
      <c r="H146" s="19">
        <v>52</v>
      </c>
      <c r="I146" s="19">
        <v>65</v>
      </c>
      <c r="J146" s="19">
        <v>48</v>
      </c>
      <c r="K146" s="5" t="s">
        <v>756</v>
      </c>
      <c r="L146" s="2" t="s">
        <v>439</v>
      </c>
      <c r="M146" s="18">
        <v>2003</v>
      </c>
      <c r="N146" s="1" t="s">
        <v>447</v>
      </c>
      <c r="O146" s="18">
        <v>958</v>
      </c>
      <c r="P146" s="5" t="s">
        <v>18</v>
      </c>
      <c r="Q146" s="18">
        <v>3</v>
      </c>
      <c r="R146" s="18">
        <v>2</v>
      </c>
      <c r="S146" s="18">
        <v>33</v>
      </c>
      <c r="T146" s="14">
        <v>91000</v>
      </c>
      <c r="U146" s="14">
        <v>83000</v>
      </c>
      <c r="V146" s="14">
        <v>50000</v>
      </c>
      <c r="W146" s="4">
        <f t="shared" si="6"/>
        <v>-8.7912087912087919E-2</v>
      </c>
      <c r="Z146" s="11">
        <f t="shared" si="7"/>
        <v>0.60240963855421692</v>
      </c>
      <c r="AA146" s="19">
        <f t="shared" si="8"/>
        <v>33000</v>
      </c>
    </row>
    <row r="147" spans="2:27" x14ac:dyDescent="0.45">
      <c r="B147" s="7">
        <v>1605</v>
      </c>
      <c r="C147" s="1" t="s">
        <v>13</v>
      </c>
      <c r="D147" s="1" t="s">
        <v>998</v>
      </c>
      <c r="E147" s="1" t="s">
        <v>1004</v>
      </c>
      <c r="F147" s="1" t="s">
        <v>1003</v>
      </c>
      <c r="G147" s="19">
        <v>4</v>
      </c>
      <c r="H147" s="19">
        <v>52</v>
      </c>
      <c r="I147" s="19">
        <v>45</v>
      </c>
      <c r="J147" s="19">
        <v>35</v>
      </c>
      <c r="K147" s="1" t="s">
        <v>378</v>
      </c>
      <c r="L147" s="2" t="s">
        <v>439</v>
      </c>
      <c r="M147" s="19">
        <v>2005</v>
      </c>
      <c r="N147" s="1" t="s">
        <v>440</v>
      </c>
      <c r="O147" s="19">
        <v>403</v>
      </c>
      <c r="P147" s="1" t="s">
        <v>18</v>
      </c>
      <c r="Q147" s="19">
        <v>3</v>
      </c>
      <c r="R147" s="19">
        <v>2</v>
      </c>
      <c r="S147" s="19">
        <v>33</v>
      </c>
      <c r="T147" s="14">
        <v>88300</v>
      </c>
      <c r="U147" s="14">
        <v>84000</v>
      </c>
      <c r="V147" s="14">
        <v>40000</v>
      </c>
      <c r="W147" s="4">
        <f t="shared" si="6"/>
        <v>-4.8697621744054363E-2</v>
      </c>
      <c r="Z147" s="11">
        <f t="shared" si="7"/>
        <v>0.47619047619047616</v>
      </c>
      <c r="AA147" s="19">
        <f t="shared" si="8"/>
        <v>44000</v>
      </c>
    </row>
    <row r="148" spans="2:27" x14ac:dyDescent="0.45">
      <c r="B148" s="7">
        <v>2152</v>
      </c>
      <c r="C148" s="1" t="s">
        <v>226</v>
      </c>
      <c r="D148" s="1" t="s">
        <v>1150</v>
      </c>
      <c r="E148" s="1" t="s">
        <v>1162</v>
      </c>
      <c r="F148" s="1" t="s">
        <v>1158</v>
      </c>
      <c r="G148" s="19">
        <v>6</v>
      </c>
      <c r="H148" s="19">
        <v>63</v>
      </c>
      <c r="I148" s="19">
        <v>48</v>
      </c>
      <c r="J148" s="19">
        <v>38</v>
      </c>
      <c r="K148" s="2" t="s">
        <v>350</v>
      </c>
      <c r="L148" s="2" t="s">
        <v>439</v>
      </c>
      <c r="M148" s="19">
        <v>2011</v>
      </c>
      <c r="N148" s="1" t="s">
        <v>434</v>
      </c>
      <c r="O148" s="19">
        <v>1106</v>
      </c>
      <c r="P148" s="1" t="s">
        <v>18</v>
      </c>
      <c r="Q148" s="19">
        <v>3</v>
      </c>
      <c r="R148" s="19">
        <v>2</v>
      </c>
      <c r="S148" s="19">
        <v>32</v>
      </c>
      <c r="T148" s="14">
        <v>100000</v>
      </c>
      <c r="U148" s="14">
        <v>84000</v>
      </c>
      <c r="V148" s="14">
        <v>56000</v>
      </c>
      <c r="W148" s="4">
        <f t="shared" si="6"/>
        <v>-0.16</v>
      </c>
      <c r="Z148" s="11">
        <f t="shared" si="7"/>
        <v>0.66666666666666663</v>
      </c>
      <c r="AA148" s="19">
        <f t="shared" si="8"/>
        <v>28000</v>
      </c>
    </row>
    <row r="149" spans="2:27" x14ac:dyDescent="0.45">
      <c r="B149" s="7">
        <v>738</v>
      </c>
      <c r="C149" s="5" t="s">
        <v>242</v>
      </c>
      <c r="D149" s="5" t="s">
        <v>711</v>
      </c>
      <c r="E149" s="1" t="s">
        <v>714</v>
      </c>
      <c r="F149" s="1" t="s">
        <v>715</v>
      </c>
      <c r="G149" s="19">
        <v>4</v>
      </c>
      <c r="H149" s="19">
        <v>48</v>
      </c>
      <c r="I149" s="19">
        <v>58</v>
      </c>
      <c r="J149" s="19">
        <v>41</v>
      </c>
      <c r="K149" s="5" t="s">
        <v>409</v>
      </c>
      <c r="L149" s="2" t="s">
        <v>433</v>
      </c>
      <c r="M149" s="18">
        <v>1988</v>
      </c>
      <c r="N149" s="1" t="s">
        <v>447</v>
      </c>
      <c r="O149" s="18">
        <v>660</v>
      </c>
      <c r="P149" s="5" t="s">
        <v>18</v>
      </c>
      <c r="Q149" s="18">
        <v>3</v>
      </c>
      <c r="R149" s="18">
        <v>2</v>
      </c>
      <c r="S149" s="18">
        <v>30</v>
      </c>
      <c r="T149" s="16">
        <v>98000</v>
      </c>
      <c r="U149" s="14">
        <v>84500</v>
      </c>
      <c r="V149" s="14">
        <v>56000</v>
      </c>
      <c r="W149" s="4">
        <f t="shared" si="6"/>
        <v>-0.13775510204081631</v>
      </c>
      <c r="Z149" s="11">
        <f t="shared" si="7"/>
        <v>0.66272189349112431</v>
      </c>
      <c r="AA149" s="19">
        <f t="shared" si="8"/>
        <v>28500</v>
      </c>
    </row>
    <row r="150" spans="2:27" x14ac:dyDescent="0.45">
      <c r="B150" s="7">
        <v>438</v>
      </c>
      <c r="C150" s="1" t="s">
        <v>554</v>
      </c>
      <c r="D150" s="1" t="s">
        <v>555</v>
      </c>
      <c r="E150" s="1" t="s">
        <v>573</v>
      </c>
      <c r="F150" s="1" t="s">
        <v>574</v>
      </c>
      <c r="G150" s="19">
        <v>5</v>
      </c>
      <c r="H150" s="19">
        <v>62</v>
      </c>
      <c r="I150" s="19">
        <v>36</v>
      </c>
      <c r="J150" s="19">
        <v>49</v>
      </c>
      <c r="K150" s="2" t="s">
        <v>216</v>
      </c>
      <c r="L150" s="2" t="s">
        <v>433</v>
      </c>
      <c r="M150" s="19">
        <v>1993</v>
      </c>
      <c r="N150" s="1" t="s">
        <v>447</v>
      </c>
      <c r="O150" s="19">
        <v>686</v>
      </c>
      <c r="P150" s="1" t="s">
        <v>18</v>
      </c>
      <c r="Q150" s="19">
        <v>3</v>
      </c>
      <c r="R150" s="19">
        <v>2</v>
      </c>
      <c r="S150" s="19">
        <v>31</v>
      </c>
      <c r="T150" s="14">
        <v>97000</v>
      </c>
      <c r="U150" s="14">
        <v>85000</v>
      </c>
      <c r="V150" s="14">
        <v>50000</v>
      </c>
      <c r="W150" s="4">
        <f t="shared" si="6"/>
        <v>-0.12371134020618557</v>
      </c>
      <c r="Z150" s="11">
        <f t="shared" si="7"/>
        <v>0.58823529411764708</v>
      </c>
      <c r="AA150" s="19">
        <f t="shared" si="8"/>
        <v>35000</v>
      </c>
    </row>
    <row r="151" spans="2:27" x14ac:dyDescent="0.45">
      <c r="B151" s="7">
        <v>444</v>
      </c>
      <c r="C151" s="1" t="s">
        <v>554</v>
      </c>
      <c r="D151" s="1" t="s">
        <v>555</v>
      </c>
      <c r="E151" s="1" t="s">
        <v>575</v>
      </c>
      <c r="F151" s="1" t="s">
        <v>571</v>
      </c>
      <c r="G151" s="19">
        <v>3</v>
      </c>
      <c r="H151" s="19">
        <v>54</v>
      </c>
      <c r="I151" s="19">
        <v>27</v>
      </c>
      <c r="J151" s="19">
        <v>41</v>
      </c>
      <c r="K151" s="2" t="s">
        <v>215</v>
      </c>
      <c r="L151" s="2" t="s">
        <v>439</v>
      </c>
      <c r="M151" s="19">
        <v>2003</v>
      </c>
      <c r="N151" s="1" t="s">
        <v>440</v>
      </c>
      <c r="O151" s="19">
        <v>205</v>
      </c>
      <c r="P151" s="1" t="s">
        <v>18</v>
      </c>
      <c r="Q151" s="19">
        <v>3</v>
      </c>
      <c r="R151" s="19">
        <v>2</v>
      </c>
      <c r="S151" s="19">
        <v>32</v>
      </c>
      <c r="T151" s="14">
        <v>79400</v>
      </c>
      <c r="U151" s="14">
        <v>85000</v>
      </c>
      <c r="V151" s="14">
        <v>60000</v>
      </c>
      <c r="W151" s="4">
        <f t="shared" si="6"/>
        <v>7.0528967254408062E-2</v>
      </c>
      <c r="Z151" s="11">
        <f t="shared" si="7"/>
        <v>0.70588235294117652</v>
      </c>
      <c r="AA151" s="19">
        <f t="shared" si="8"/>
        <v>25000</v>
      </c>
    </row>
    <row r="152" spans="2:27" x14ac:dyDescent="0.45">
      <c r="B152" s="7">
        <v>603</v>
      </c>
      <c r="C152" s="1" t="s">
        <v>58</v>
      </c>
      <c r="D152" s="1" t="s">
        <v>607</v>
      </c>
      <c r="E152" s="1" t="s">
        <v>610</v>
      </c>
      <c r="F152" s="1" t="s">
        <v>614</v>
      </c>
      <c r="G152" s="19">
        <v>6</v>
      </c>
      <c r="H152" s="19">
        <v>32</v>
      </c>
      <c r="I152" s="19">
        <v>38</v>
      </c>
      <c r="J152" s="19">
        <v>35</v>
      </c>
      <c r="K152" s="1" t="s">
        <v>59</v>
      </c>
      <c r="L152" s="2" t="s">
        <v>439</v>
      </c>
      <c r="M152" s="19">
        <v>2003</v>
      </c>
      <c r="N152" s="1" t="s">
        <v>434</v>
      </c>
      <c r="O152" s="19">
        <v>3544</v>
      </c>
      <c r="P152" s="1" t="s">
        <v>5</v>
      </c>
      <c r="Q152" s="19">
        <v>2</v>
      </c>
      <c r="R152" s="19">
        <v>1</v>
      </c>
      <c r="S152" s="19">
        <v>25</v>
      </c>
      <c r="T152" s="14">
        <v>89000</v>
      </c>
      <c r="U152" s="14">
        <v>85000</v>
      </c>
      <c r="V152" s="14">
        <v>48000</v>
      </c>
      <c r="W152" s="4">
        <f t="shared" si="6"/>
        <v>-4.49438202247191E-2</v>
      </c>
      <c r="Z152" s="11">
        <f t="shared" si="7"/>
        <v>0.56470588235294117</v>
      </c>
      <c r="AA152" s="19">
        <f t="shared" si="8"/>
        <v>37000</v>
      </c>
    </row>
    <row r="153" spans="2:27" x14ac:dyDescent="0.45">
      <c r="B153" s="7">
        <v>760</v>
      </c>
      <c r="C153" s="5" t="s">
        <v>248</v>
      </c>
      <c r="D153" s="5" t="s">
        <v>711</v>
      </c>
      <c r="E153" s="1" t="s">
        <v>733</v>
      </c>
      <c r="F153" s="1" t="s">
        <v>734</v>
      </c>
      <c r="G153" s="19">
        <v>5</v>
      </c>
      <c r="H153" s="19">
        <v>48</v>
      </c>
      <c r="I153" s="19">
        <v>40</v>
      </c>
      <c r="J153" s="19">
        <v>32</v>
      </c>
      <c r="K153" s="5" t="s">
        <v>339</v>
      </c>
      <c r="L153" s="2" t="s">
        <v>433</v>
      </c>
      <c r="M153" s="18">
        <v>1986</v>
      </c>
      <c r="N153" s="1" t="s">
        <v>434</v>
      </c>
      <c r="O153" s="18">
        <v>3930</v>
      </c>
      <c r="P153" s="5" t="s">
        <v>5</v>
      </c>
      <c r="Q153" s="18">
        <v>2</v>
      </c>
      <c r="R153" s="18">
        <v>1</v>
      </c>
      <c r="S153" s="18">
        <v>20</v>
      </c>
      <c r="T153" s="14">
        <v>87500</v>
      </c>
      <c r="U153" s="14">
        <v>85000</v>
      </c>
      <c r="V153" s="14">
        <v>23000</v>
      </c>
      <c r="W153" s="4">
        <f t="shared" si="6"/>
        <v>-2.8571428571428571E-2</v>
      </c>
      <c r="Z153" s="11">
        <f t="shared" si="7"/>
        <v>0.27058823529411763</v>
      </c>
      <c r="AA153" s="19">
        <f t="shared" si="8"/>
        <v>62000</v>
      </c>
    </row>
    <row r="154" spans="2:27" x14ac:dyDescent="0.45">
      <c r="B154" s="7">
        <v>796</v>
      </c>
      <c r="C154" s="5" t="s">
        <v>394</v>
      </c>
      <c r="D154" s="5" t="s">
        <v>753</v>
      </c>
      <c r="E154" s="1" t="s">
        <v>762</v>
      </c>
      <c r="F154" s="1" t="s">
        <v>760</v>
      </c>
      <c r="G154" s="19">
        <v>4</v>
      </c>
      <c r="H154" s="19">
        <v>48</v>
      </c>
      <c r="I154" s="19">
        <v>60</v>
      </c>
      <c r="J154" s="19">
        <v>43</v>
      </c>
      <c r="K154" s="5" t="s">
        <v>398</v>
      </c>
      <c r="L154" s="2" t="s">
        <v>433</v>
      </c>
      <c r="M154" s="18">
        <v>1992</v>
      </c>
      <c r="N154" s="1" t="s">
        <v>434</v>
      </c>
      <c r="O154" s="18">
        <v>1668</v>
      </c>
      <c r="P154" s="5" t="s">
        <v>18</v>
      </c>
      <c r="Q154" s="18">
        <v>3</v>
      </c>
      <c r="R154" s="18">
        <v>2</v>
      </c>
      <c r="S154" s="18">
        <v>31</v>
      </c>
      <c r="T154" s="14">
        <v>110000</v>
      </c>
      <c r="U154" s="14">
        <v>85000</v>
      </c>
      <c r="V154" s="14">
        <v>48000</v>
      </c>
      <c r="W154" s="4">
        <f t="shared" si="6"/>
        <v>-0.22727272727272727</v>
      </c>
      <c r="Z154" s="11">
        <f t="shared" si="7"/>
        <v>0.56470588235294117</v>
      </c>
      <c r="AA154" s="19">
        <f t="shared" si="8"/>
        <v>37000</v>
      </c>
    </row>
    <row r="155" spans="2:27" x14ac:dyDescent="0.45">
      <c r="B155" s="7">
        <v>875</v>
      </c>
      <c r="C155" s="1" t="s">
        <v>95</v>
      </c>
      <c r="D155" s="1" t="s">
        <v>781</v>
      </c>
      <c r="E155" s="1" t="s">
        <v>797</v>
      </c>
      <c r="F155" s="1" t="s">
        <v>795</v>
      </c>
      <c r="G155" s="19">
        <v>4</v>
      </c>
      <c r="H155" s="19">
        <v>42</v>
      </c>
      <c r="I155" s="19">
        <v>35</v>
      </c>
      <c r="J155" s="19">
        <v>32</v>
      </c>
      <c r="K155" s="1" t="s">
        <v>377</v>
      </c>
      <c r="L155" s="2" t="s">
        <v>439</v>
      </c>
      <c r="M155" s="19">
        <v>2000</v>
      </c>
      <c r="N155" s="1" t="s">
        <v>434</v>
      </c>
      <c r="O155" s="19">
        <v>1830</v>
      </c>
      <c r="P155" s="1" t="s">
        <v>18</v>
      </c>
      <c r="Q155" s="19">
        <v>3</v>
      </c>
      <c r="R155" s="19">
        <v>1</v>
      </c>
      <c r="S155" s="19">
        <v>25</v>
      </c>
      <c r="T155" s="14">
        <v>87500</v>
      </c>
      <c r="U155" s="14">
        <v>85000</v>
      </c>
      <c r="V155" s="14">
        <v>45000</v>
      </c>
      <c r="W155" s="4">
        <f t="shared" si="6"/>
        <v>-2.8571428571428571E-2</v>
      </c>
      <c r="Z155" s="11">
        <f t="shared" si="7"/>
        <v>0.52941176470588236</v>
      </c>
      <c r="AA155" s="19">
        <f t="shared" si="8"/>
        <v>40000</v>
      </c>
    </row>
    <row r="156" spans="2:27" x14ac:dyDescent="0.45">
      <c r="B156" s="7">
        <v>1589</v>
      </c>
      <c r="C156" s="1" t="s">
        <v>13</v>
      </c>
      <c r="D156" s="1" t="s">
        <v>998</v>
      </c>
      <c r="E156" s="1" t="s">
        <v>999</v>
      </c>
      <c r="F156" s="1" t="s">
        <v>1000</v>
      </c>
      <c r="G156" s="19" t="s">
        <v>1248</v>
      </c>
      <c r="H156" s="19">
        <v>45</v>
      </c>
      <c r="I156" s="19">
        <v>35</v>
      </c>
      <c r="J156" s="19">
        <v>22</v>
      </c>
      <c r="K156" s="1" t="s">
        <v>412</v>
      </c>
      <c r="L156" s="2" t="s">
        <v>433</v>
      </c>
      <c r="M156" s="19">
        <v>1998</v>
      </c>
      <c r="N156" s="1" t="s">
        <v>434</v>
      </c>
      <c r="O156" s="19">
        <v>4509</v>
      </c>
      <c r="P156" s="1" t="s">
        <v>18</v>
      </c>
      <c r="Q156" s="19">
        <v>3</v>
      </c>
      <c r="R156" s="19">
        <v>2</v>
      </c>
      <c r="S156" s="19">
        <v>33</v>
      </c>
      <c r="T156" s="14">
        <v>98500</v>
      </c>
      <c r="U156" s="14">
        <v>85000</v>
      </c>
      <c r="V156" s="14">
        <v>54000</v>
      </c>
      <c r="W156" s="4">
        <f t="shared" si="6"/>
        <v>-0.13705583756345177</v>
      </c>
      <c r="Z156" s="11">
        <f t="shared" si="7"/>
        <v>0.63529411764705879</v>
      </c>
      <c r="AA156" s="19">
        <f t="shared" si="8"/>
        <v>31000</v>
      </c>
    </row>
    <row r="157" spans="2:27" x14ac:dyDescent="0.45">
      <c r="B157" s="7">
        <v>364</v>
      </c>
      <c r="C157" s="1" t="s">
        <v>86</v>
      </c>
      <c r="D157" s="1" t="s">
        <v>555</v>
      </c>
      <c r="E157" s="1" t="s">
        <v>564</v>
      </c>
      <c r="F157" s="1" t="s">
        <v>558</v>
      </c>
      <c r="G157" s="19">
        <v>6</v>
      </c>
      <c r="H157" s="19">
        <v>43</v>
      </c>
      <c r="I157" s="19">
        <v>16</v>
      </c>
      <c r="J157" s="19">
        <v>29</v>
      </c>
      <c r="K157" s="2" t="s">
        <v>322</v>
      </c>
      <c r="L157" s="2" t="s">
        <v>433</v>
      </c>
      <c r="M157" s="19">
        <v>1998</v>
      </c>
      <c r="N157" s="1" t="s">
        <v>447</v>
      </c>
      <c r="O157" s="19">
        <v>778</v>
      </c>
      <c r="P157" s="1" t="s">
        <v>5</v>
      </c>
      <c r="Q157" s="19">
        <v>3</v>
      </c>
      <c r="R157" s="19">
        <v>1</v>
      </c>
      <c r="S157" s="19">
        <v>25</v>
      </c>
      <c r="T157" s="14">
        <v>86000</v>
      </c>
      <c r="U157" s="14">
        <v>86000</v>
      </c>
      <c r="V157" s="14">
        <v>55000</v>
      </c>
      <c r="W157" s="4">
        <f t="shared" si="6"/>
        <v>0</v>
      </c>
      <c r="Z157" s="11">
        <f t="shared" si="7"/>
        <v>0.63953488372093026</v>
      </c>
      <c r="AA157" s="19">
        <f t="shared" si="8"/>
        <v>31000</v>
      </c>
    </row>
    <row r="158" spans="2:27" x14ac:dyDescent="0.45">
      <c r="B158" s="7">
        <v>1701</v>
      </c>
      <c r="C158" s="1" t="s">
        <v>13</v>
      </c>
      <c r="D158" s="1" t="s">
        <v>998</v>
      </c>
      <c r="E158" s="1" t="s">
        <v>1029</v>
      </c>
      <c r="F158" s="1" t="s">
        <v>1017</v>
      </c>
      <c r="G158" s="19">
        <v>5</v>
      </c>
      <c r="H158" s="19">
        <v>48</v>
      </c>
      <c r="I158" s="19">
        <v>45</v>
      </c>
      <c r="J158" s="19">
        <v>32</v>
      </c>
      <c r="K158" s="6" t="s">
        <v>81</v>
      </c>
      <c r="L158" s="2" t="s">
        <v>439</v>
      </c>
      <c r="M158" s="19">
        <v>2003</v>
      </c>
      <c r="N158" s="1" t="s">
        <v>434</v>
      </c>
      <c r="O158" s="19">
        <v>1377</v>
      </c>
      <c r="P158" s="1" t="s">
        <v>18</v>
      </c>
      <c r="Q158" s="19">
        <v>3</v>
      </c>
      <c r="R158" s="19">
        <v>2</v>
      </c>
      <c r="S158" s="19">
        <v>25</v>
      </c>
      <c r="T158" s="14">
        <v>90500</v>
      </c>
      <c r="U158" s="14">
        <v>86000</v>
      </c>
      <c r="V158" s="14">
        <v>50000</v>
      </c>
      <c r="W158" s="4">
        <f t="shared" si="6"/>
        <v>-4.9723756906077346E-2</v>
      </c>
      <c r="Z158" s="11">
        <f t="shared" si="7"/>
        <v>0.58139534883720934</v>
      </c>
      <c r="AA158" s="19">
        <f t="shared" si="8"/>
        <v>36000</v>
      </c>
    </row>
    <row r="159" spans="2:27" x14ac:dyDescent="0.45">
      <c r="B159" s="7">
        <v>2225</v>
      </c>
      <c r="C159" s="1" t="s">
        <v>226</v>
      </c>
      <c r="D159" s="1" t="s">
        <v>1150</v>
      </c>
      <c r="E159" s="1" t="s">
        <v>1174</v>
      </c>
      <c r="F159" s="1" t="s">
        <v>1175</v>
      </c>
      <c r="G159" s="19">
        <v>6</v>
      </c>
      <c r="H159" s="19">
        <v>55</v>
      </c>
      <c r="I159" s="19">
        <v>50</v>
      </c>
      <c r="J159" s="19">
        <v>30</v>
      </c>
      <c r="K159" s="2" t="s">
        <v>228</v>
      </c>
      <c r="L159" s="2" t="s">
        <v>439</v>
      </c>
      <c r="M159" s="19">
        <v>2010</v>
      </c>
      <c r="N159" s="1" t="s">
        <v>434</v>
      </c>
      <c r="O159" s="19">
        <v>1185</v>
      </c>
      <c r="P159" s="1" t="s">
        <v>18</v>
      </c>
      <c r="Q159" s="19">
        <v>3</v>
      </c>
      <c r="R159" s="19">
        <v>2</v>
      </c>
      <c r="S159" s="19">
        <v>24</v>
      </c>
      <c r="T159" s="14">
        <v>95000</v>
      </c>
      <c r="U159" s="14">
        <v>86000</v>
      </c>
      <c r="V159" s="14">
        <v>47000</v>
      </c>
      <c r="W159" s="4">
        <f t="shared" si="6"/>
        <v>-9.4736842105263161E-2</v>
      </c>
      <c r="Z159" s="11">
        <f t="shared" si="7"/>
        <v>0.54651162790697672</v>
      </c>
      <c r="AA159" s="19">
        <f t="shared" si="8"/>
        <v>39000</v>
      </c>
    </row>
    <row r="160" spans="2:27" x14ac:dyDescent="0.45">
      <c r="B160" s="7">
        <v>2266</v>
      </c>
      <c r="C160" s="1" t="s">
        <v>380</v>
      </c>
      <c r="D160" s="1" t="s">
        <v>1182</v>
      </c>
      <c r="E160" s="1" t="s">
        <v>1185</v>
      </c>
      <c r="F160" s="1" t="s">
        <v>1186</v>
      </c>
      <c r="G160" s="19">
        <v>5</v>
      </c>
      <c r="H160" s="19">
        <v>40</v>
      </c>
      <c r="I160" s="19">
        <v>35</v>
      </c>
      <c r="J160" s="19">
        <v>20</v>
      </c>
      <c r="K160" s="1" t="s">
        <v>382</v>
      </c>
      <c r="L160" s="2" t="s">
        <v>439</v>
      </c>
      <c r="M160" s="19">
        <v>2009</v>
      </c>
      <c r="N160" s="1" t="s">
        <v>440</v>
      </c>
      <c r="O160" s="19">
        <v>288</v>
      </c>
      <c r="P160" s="1" t="s">
        <v>18</v>
      </c>
      <c r="Q160" s="19">
        <v>2</v>
      </c>
      <c r="R160" s="19">
        <v>2</v>
      </c>
      <c r="S160" s="19">
        <v>25</v>
      </c>
      <c r="T160" s="14">
        <v>97500</v>
      </c>
      <c r="U160" s="14">
        <v>86000</v>
      </c>
      <c r="V160" s="14">
        <v>52000</v>
      </c>
      <c r="W160" s="4">
        <f t="shared" si="6"/>
        <v>-0.11794871794871795</v>
      </c>
      <c r="Z160" s="11">
        <f t="shared" si="7"/>
        <v>0.60465116279069764</v>
      </c>
      <c r="AA160" s="19">
        <f t="shared" si="8"/>
        <v>34000</v>
      </c>
    </row>
    <row r="161" spans="2:27" x14ac:dyDescent="0.45">
      <c r="B161" s="7">
        <v>308</v>
      </c>
      <c r="C161" s="1" t="s">
        <v>201</v>
      </c>
      <c r="D161" s="1" t="s">
        <v>541</v>
      </c>
      <c r="E161" s="1" t="s">
        <v>550</v>
      </c>
      <c r="F161" s="1" t="s">
        <v>551</v>
      </c>
      <c r="G161" s="19">
        <v>6</v>
      </c>
      <c r="H161" s="19">
        <v>50</v>
      </c>
      <c r="I161" s="19">
        <v>54</v>
      </c>
      <c r="J161" s="19">
        <v>38</v>
      </c>
      <c r="K161" s="1" t="s">
        <v>202</v>
      </c>
      <c r="L161" s="2" t="s">
        <v>453</v>
      </c>
      <c r="M161" s="19">
        <v>2019</v>
      </c>
      <c r="N161" s="1" t="s">
        <v>434</v>
      </c>
      <c r="O161" s="19">
        <v>1028</v>
      </c>
      <c r="P161" s="5" t="s">
        <v>18</v>
      </c>
      <c r="Q161" s="18">
        <v>3</v>
      </c>
      <c r="R161" s="18">
        <v>2</v>
      </c>
      <c r="S161" s="18">
        <v>24</v>
      </c>
      <c r="T161" s="14">
        <v>93800</v>
      </c>
      <c r="U161" s="14">
        <v>87000</v>
      </c>
      <c r="V161" s="14">
        <v>50000</v>
      </c>
      <c r="W161" s="4">
        <f t="shared" si="6"/>
        <v>-7.2494669509594878E-2</v>
      </c>
      <c r="Z161" s="11">
        <f t="shared" si="7"/>
        <v>0.57471264367816088</v>
      </c>
      <c r="AA161" s="19">
        <f t="shared" si="8"/>
        <v>37000</v>
      </c>
    </row>
    <row r="162" spans="2:27" x14ac:dyDescent="0.45">
      <c r="B162" s="7">
        <v>403</v>
      </c>
      <c r="C162" s="1" t="s">
        <v>554</v>
      </c>
      <c r="D162" s="1" t="s">
        <v>555</v>
      </c>
      <c r="E162" s="1" t="s">
        <v>570</v>
      </c>
      <c r="F162" s="1" t="s">
        <v>571</v>
      </c>
      <c r="G162" s="19">
        <v>5</v>
      </c>
      <c r="H162" s="19">
        <v>55</v>
      </c>
      <c r="I162" s="19">
        <v>28</v>
      </c>
      <c r="J162" s="19">
        <v>42</v>
      </c>
      <c r="K162" s="2" t="s">
        <v>218</v>
      </c>
      <c r="L162" s="2" t="s">
        <v>453</v>
      </c>
      <c r="M162" s="19">
        <v>2020</v>
      </c>
      <c r="N162" s="1" t="s">
        <v>440</v>
      </c>
      <c r="O162" s="19">
        <v>298</v>
      </c>
      <c r="P162" s="1" t="s">
        <v>18</v>
      </c>
      <c r="Q162" s="19">
        <v>3</v>
      </c>
      <c r="R162" s="19">
        <v>2</v>
      </c>
      <c r="S162" s="19">
        <v>24</v>
      </c>
      <c r="T162" s="14">
        <v>0</v>
      </c>
      <c r="U162" s="14">
        <v>87000</v>
      </c>
      <c r="V162" s="14">
        <v>55000</v>
      </c>
      <c r="W162" s="4" t="e">
        <f t="shared" si="6"/>
        <v>#DIV/0!</v>
      </c>
      <c r="Z162" s="11">
        <f t="shared" si="7"/>
        <v>0.63218390804597702</v>
      </c>
      <c r="AA162" s="19">
        <f t="shared" si="8"/>
        <v>32000</v>
      </c>
    </row>
    <row r="163" spans="2:27" x14ac:dyDescent="0.45">
      <c r="B163" s="7">
        <v>685</v>
      </c>
      <c r="C163" s="5" t="s">
        <v>33</v>
      </c>
      <c r="D163" s="1" t="s">
        <v>652</v>
      </c>
      <c r="E163" s="1" t="s">
        <v>660</v>
      </c>
      <c r="F163" s="1" t="s">
        <v>661</v>
      </c>
      <c r="G163" s="19">
        <v>7</v>
      </c>
      <c r="H163" s="19">
        <v>58</v>
      </c>
      <c r="I163" s="19">
        <v>43</v>
      </c>
      <c r="J163" s="19">
        <v>50</v>
      </c>
      <c r="K163" s="5" t="s">
        <v>330</v>
      </c>
      <c r="L163" s="2" t="s">
        <v>439</v>
      </c>
      <c r="M163" s="18">
        <v>2003</v>
      </c>
      <c r="N163" s="1" t="s">
        <v>447</v>
      </c>
      <c r="O163" s="18">
        <v>620</v>
      </c>
      <c r="P163" s="5" t="s">
        <v>18</v>
      </c>
      <c r="Q163" s="18">
        <v>3</v>
      </c>
      <c r="R163" s="18">
        <v>2</v>
      </c>
      <c r="S163" s="18">
        <v>33</v>
      </c>
      <c r="T163" s="14">
        <v>105000</v>
      </c>
      <c r="U163" s="14">
        <v>87000</v>
      </c>
      <c r="V163" s="14">
        <v>46000</v>
      </c>
      <c r="W163" s="4">
        <f t="shared" si="6"/>
        <v>-0.17142857142857143</v>
      </c>
      <c r="Z163" s="11">
        <f t="shared" si="7"/>
        <v>0.52873563218390807</v>
      </c>
      <c r="AA163" s="19">
        <f t="shared" si="8"/>
        <v>41000</v>
      </c>
    </row>
    <row r="164" spans="2:27" x14ac:dyDescent="0.45">
      <c r="B164" s="7">
        <v>717</v>
      </c>
      <c r="C164" s="1" t="s">
        <v>33</v>
      </c>
      <c r="D164" s="1" t="s">
        <v>652</v>
      </c>
      <c r="E164" s="1" t="s">
        <v>688</v>
      </c>
      <c r="F164" s="1" t="s">
        <v>689</v>
      </c>
      <c r="G164" s="19">
        <v>5</v>
      </c>
      <c r="H164" s="19">
        <v>50</v>
      </c>
      <c r="I164" s="19">
        <v>30</v>
      </c>
      <c r="J164" s="19">
        <v>43</v>
      </c>
      <c r="K164" s="1" t="s">
        <v>38</v>
      </c>
      <c r="L164" s="2" t="s">
        <v>439</v>
      </c>
      <c r="M164" s="19">
        <v>2001</v>
      </c>
      <c r="N164" s="1" t="s">
        <v>434</v>
      </c>
      <c r="O164" s="19">
        <v>2412</v>
      </c>
      <c r="P164" s="5" t="s">
        <v>18</v>
      </c>
      <c r="Q164" s="18">
        <v>3</v>
      </c>
      <c r="R164" s="18">
        <v>2</v>
      </c>
      <c r="S164" s="18">
        <v>33</v>
      </c>
      <c r="T164" s="14">
        <v>101000</v>
      </c>
      <c r="U164" s="14">
        <v>87000</v>
      </c>
      <c r="V164" s="14">
        <v>52000</v>
      </c>
      <c r="W164" s="4">
        <f t="shared" si="6"/>
        <v>-0.13861386138613863</v>
      </c>
      <c r="Z164" s="11">
        <f t="shared" si="7"/>
        <v>0.5977011494252874</v>
      </c>
      <c r="AA164" s="19">
        <f t="shared" si="8"/>
        <v>35000</v>
      </c>
    </row>
    <row r="165" spans="2:27" x14ac:dyDescent="0.45">
      <c r="B165" s="7">
        <v>722</v>
      </c>
      <c r="C165" s="1" t="s">
        <v>35</v>
      </c>
      <c r="D165" s="1" t="s">
        <v>652</v>
      </c>
      <c r="E165" s="1" t="s">
        <v>695</v>
      </c>
      <c r="F165" s="1" t="s">
        <v>696</v>
      </c>
      <c r="G165" s="19">
        <v>6</v>
      </c>
      <c r="H165" s="19">
        <v>58</v>
      </c>
      <c r="I165" s="19">
        <v>38</v>
      </c>
      <c r="J165" s="19">
        <v>51</v>
      </c>
      <c r="K165" s="1" t="s">
        <v>36</v>
      </c>
      <c r="L165" s="2" t="s">
        <v>439</v>
      </c>
      <c r="M165" s="19">
        <v>2014</v>
      </c>
      <c r="N165" s="1" t="s">
        <v>447</v>
      </c>
      <c r="O165" s="19">
        <v>978</v>
      </c>
      <c r="P165" s="5" t="s">
        <v>18</v>
      </c>
      <c r="Q165" s="18">
        <v>3</v>
      </c>
      <c r="R165" s="19">
        <v>2</v>
      </c>
      <c r="S165" s="18">
        <v>24</v>
      </c>
      <c r="T165" s="14">
        <v>85000</v>
      </c>
      <c r="U165" s="14">
        <v>87000</v>
      </c>
      <c r="V165" s="14">
        <v>50000</v>
      </c>
      <c r="W165" s="4">
        <f t="shared" si="6"/>
        <v>2.3529411764705882E-2</v>
      </c>
      <c r="Z165" s="11">
        <f t="shared" si="7"/>
        <v>0.57471264367816088</v>
      </c>
      <c r="AA165" s="19">
        <f t="shared" si="8"/>
        <v>37000</v>
      </c>
    </row>
    <row r="166" spans="2:27" x14ac:dyDescent="0.45">
      <c r="B166" s="7">
        <v>762</v>
      </c>
      <c r="C166" s="5" t="s">
        <v>242</v>
      </c>
      <c r="D166" s="5" t="s">
        <v>711</v>
      </c>
      <c r="E166" s="1" t="s">
        <v>732</v>
      </c>
      <c r="F166" s="1" t="s">
        <v>731</v>
      </c>
      <c r="G166" s="19">
        <v>6</v>
      </c>
      <c r="H166" s="19">
        <v>56</v>
      </c>
      <c r="I166" s="19">
        <v>46</v>
      </c>
      <c r="J166" s="19">
        <v>39</v>
      </c>
      <c r="K166" s="5" t="s">
        <v>338</v>
      </c>
      <c r="L166" s="2" t="s">
        <v>453</v>
      </c>
      <c r="M166" s="18">
        <v>2016</v>
      </c>
      <c r="N166" s="1" t="s">
        <v>447</v>
      </c>
      <c r="O166" s="18">
        <v>504</v>
      </c>
      <c r="P166" s="5" t="s">
        <v>18</v>
      </c>
      <c r="Q166" s="18">
        <v>3</v>
      </c>
      <c r="R166" s="18">
        <v>2</v>
      </c>
      <c r="S166" s="18">
        <v>24</v>
      </c>
      <c r="T166" s="14">
        <v>90500</v>
      </c>
      <c r="U166" s="14">
        <v>87000</v>
      </c>
      <c r="V166" s="14">
        <v>46000</v>
      </c>
      <c r="W166" s="4">
        <f t="shared" si="6"/>
        <v>-3.8674033149171269E-2</v>
      </c>
      <c r="Z166" s="11">
        <f t="shared" si="7"/>
        <v>0.52873563218390807</v>
      </c>
      <c r="AA166" s="19">
        <f t="shared" si="8"/>
        <v>41000</v>
      </c>
    </row>
    <row r="167" spans="2:27" x14ac:dyDescent="0.45">
      <c r="B167" s="7">
        <v>768</v>
      </c>
      <c r="C167" s="5" t="s">
        <v>726</v>
      </c>
      <c r="D167" s="5" t="s">
        <v>711</v>
      </c>
      <c r="E167" s="1" t="s">
        <v>737</v>
      </c>
      <c r="F167" s="1" t="s">
        <v>717</v>
      </c>
      <c r="G167" s="19">
        <v>7</v>
      </c>
      <c r="H167" s="19">
        <v>55</v>
      </c>
      <c r="I167" s="19">
        <v>65</v>
      </c>
      <c r="J167" s="19">
        <v>48</v>
      </c>
      <c r="K167" s="5" t="s">
        <v>247</v>
      </c>
      <c r="L167" s="2" t="s">
        <v>453</v>
      </c>
      <c r="M167" s="18">
        <v>2016</v>
      </c>
      <c r="N167" s="1" t="s">
        <v>440</v>
      </c>
      <c r="O167" s="18">
        <v>457</v>
      </c>
      <c r="P167" s="5" t="s">
        <v>18</v>
      </c>
      <c r="Q167" s="18">
        <v>3</v>
      </c>
      <c r="R167" s="18">
        <v>2</v>
      </c>
      <c r="S167" s="18">
        <v>33</v>
      </c>
      <c r="T167" s="14">
        <v>100000</v>
      </c>
      <c r="U167" s="14">
        <v>87000</v>
      </c>
      <c r="V167" s="14">
        <v>62000</v>
      </c>
      <c r="W167" s="4">
        <f t="shared" si="6"/>
        <v>-0.13</v>
      </c>
      <c r="Z167" s="11">
        <f t="shared" si="7"/>
        <v>0.71264367816091956</v>
      </c>
      <c r="AA167" s="19">
        <f t="shared" si="8"/>
        <v>25000</v>
      </c>
    </row>
    <row r="168" spans="2:27" x14ac:dyDescent="0.45">
      <c r="B168" s="7">
        <v>920</v>
      </c>
      <c r="C168" s="1" t="s">
        <v>95</v>
      </c>
      <c r="D168" s="1" t="s">
        <v>781</v>
      </c>
      <c r="E168" s="1" t="s">
        <v>812</v>
      </c>
      <c r="F168" s="1" t="s">
        <v>796</v>
      </c>
      <c r="G168" s="19">
        <v>3</v>
      </c>
      <c r="H168" s="19">
        <v>47</v>
      </c>
      <c r="I168" s="19">
        <v>41</v>
      </c>
      <c r="J168" s="19">
        <v>38</v>
      </c>
      <c r="K168" s="1" t="s">
        <v>125</v>
      </c>
      <c r="L168" s="2" t="s">
        <v>453</v>
      </c>
      <c r="M168" s="19">
        <v>2019</v>
      </c>
      <c r="N168" s="1" t="s">
        <v>440</v>
      </c>
      <c r="O168" s="19">
        <v>469</v>
      </c>
      <c r="P168" s="1" t="s">
        <v>18</v>
      </c>
      <c r="Q168" s="19">
        <v>3</v>
      </c>
      <c r="R168" s="19">
        <v>2</v>
      </c>
      <c r="S168" s="19">
        <v>25</v>
      </c>
      <c r="T168" s="14">
        <v>95000</v>
      </c>
      <c r="U168" s="14">
        <v>87000</v>
      </c>
      <c r="V168" s="14">
        <v>60000</v>
      </c>
      <c r="W168" s="4">
        <f t="shared" si="6"/>
        <v>-8.4210526315789472E-2</v>
      </c>
      <c r="Z168" s="11">
        <f t="shared" si="7"/>
        <v>0.68965517241379315</v>
      </c>
      <c r="AA168" s="19">
        <f t="shared" si="8"/>
        <v>27000</v>
      </c>
    </row>
    <row r="169" spans="2:27" x14ac:dyDescent="0.45">
      <c r="B169" s="7">
        <v>1260</v>
      </c>
      <c r="C169" s="1" t="s">
        <v>2</v>
      </c>
      <c r="D169" s="1" t="s">
        <v>899</v>
      </c>
      <c r="E169" s="1" t="s">
        <v>905</v>
      </c>
      <c r="F169" s="1" t="s">
        <v>904</v>
      </c>
      <c r="G169" s="19">
        <v>5</v>
      </c>
      <c r="H169" s="19">
        <v>45</v>
      </c>
      <c r="I169" s="19">
        <v>32</v>
      </c>
      <c r="J169" s="19">
        <v>15</v>
      </c>
      <c r="K169" s="1" t="s">
        <v>417</v>
      </c>
      <c r="L169" s="2" t="s">
        <v>453</v>
      </c>
      <c r="M169" s="19">
        <v>2021</v>
      </c>
      <c r="N169" s="1" t="s">
        <v>434</v>
      </c>
      <c r="O169" s="19">
        <v>1116</v>
      </c>
      <c r="P169" s="1" t="s">
        <v>18</v>
      </c>
      <c r="Q169" s="19">
        <v>2</v>
      </c>
      <c r="R169" s="19">
        <v>1</v>
      </c>
      <c r="S169" s="19">
        <v>17</v>
      </c>
      <c r="T169" s="14">
        <v>0</v>
      </c>
      <c r="U169" s="14">
        <v>87000</v>
      </c>
      <c r="V169" s="14">
        <v>50000</v>
      </c>
      <c r="W169" s="4" t="e">
        <f t="shared" si="6"/>
        <v>#DIV/0!</v>
      </c>
      <c r="Z169" s="11">
        <f t="shared" si="7"/>
        <v>0.57471264367816088</v>
      </c>
      <c r="AA169" s="19">
        <f t="shared" si="8"/>
        <v>37000</v>
      </c>
    </row>
    <row r="170" spans="2:27" x14ac:dyDescent="0.45">
      <c r="B170" s="7">
        <v>2159</v>
      </c>
      <c r="C170" s="1" t="s">
        <v>226</v>
      </c>
      <c r="D170" s="1" t="s">
        <v>1150</v>
      </c>
      <c r="E170" s="1" t="s">
        <v>1163</v>
      </c>
      <c r="F170" s="1" t="s">
        <v>1158</v>
      </c>
      <c r="G170" s="19">
        <v>8</v>
      </c>
      <c r="H170" s="19">
        <v>55</v>
      </c>
      <c r="I170" s="19">
        <v>40</v>
      </c>
      <c r="J170" s="19">
        <v>30</v>
      </c>
      <c r="K170" s="2" t="s">
        <v>349</v>
      </c>
      <c r="L170" s="2" t="s">
        <v>453</v>
      </c>
      <c r="M170" s="19">
        <v>2021</v>
      </c>
      <c r="N170" s="1" t="s">
        <v>447</v>
      </c>
      <c r="O170" s="19">
        <v>678</v>
      </c>
      <c r="P170" s="1" t="s">
        <v>18</v>
      </c>
      <c r="Q170" s="19">
        <v>3</v>
      </c>
      <c r="R170" s="19">
        <v>2</v>
      </c>
      <c r="S170" s="19">
        <v>24</v>
      </c>
      <c r="T170" s="14">
        <v>99000</v>
      </c>
      <c r="U170" s="14">
        <v>87000</v>
      </c>
      <c r="V170" s="14">
        <v>54000</v>
      </c>
      <c r="W170" s="4">
        <f t="shared" si="6"/>
        <v>-0.12121212121212122</v>
      </c>
      <c r="Z170" s="11">
        <f t="shared" si="7"/>
        <v>0.62068965517241381</v>
      </c>
      <c r="AA170" s="19">
        <f t="shared" si="8"/>
        <v>33000</v>
      </c>
    </row>
    <row r="171" spans="2:27" x14ac:dyDescent="0.45">
      <c r="B171" s="7">
        <v>2206</v>
      </c>
      <c r="C171" s="1" t="s">
        <v>92</v>
      </c>
      <c r="D171" s="1" t="s">
        <v>1150</v>
      </c>
      <c r="E171" s="1" t="s">
        <v>1170</v>
      </c>
      <c r="F171" s="1" t="s">
        <v>1168</v>
      </c>
      <c r="G171" s="19">
        <v>10</v>
      </c>
      <c r="H171" s="19">
        <v>52</v>
      </c>
      <c r="I171" s="19">
        <v>25</v>
      </c>
      <c r="J171" s="19">
        <v>30</v>
      </c>
      <c r="K171" s="2" t="s">
        <v>280</v>
      </c>
      <c r="L171" s="2" t="s">
        <v>439</v>
      </c>
      <c r="M171" s="19">
        <v>2000</v>
      </c>
      <c r="N171" s="1" t="s">
        <v>440</v>
      </c>
      <c r="O171" s="19">
        <v>196</v>
      </c>
      <c r="P171" s="1" t="s">
        <v>18</v>
      </c>
      <c r="Q171" s="19">
        <v>3</v>
      </c>
      <c r="R171" s="19">
        <v>1</v>
      </c>
      <c r="S171" s="19">
        <v>24</v>
      </c>
      <c r="T171" s="14">
        <v>94000</v>
      </c>
      <c r="U171" s="14">
        <v>87000</v>
      </c>
      <c r="V171" s="14">
        <v>48000</v>
      </c>
      <c r="W171" s="4">
        <f t="shared" si="6"/>
        <v>-7.4468085106382975E-2</v>
      </c>
      <c r="Z171" s="11">
        <f t="shared" si="7"/>
        <v>0.55172413793103448</v>
      </c>
      <c r="AA171" s="19">
        <f t="shared" si="8"/>
        <v>39000</v>
      </c>
    </row>
    <row r="172" spans="2:27" x14ac:dyDescent="0.45">
      <c r="B172" s="7">
        <v>528</v>
      </c>
      <c r="C172" s="1" t="s">
        <v>26</v>
      </c>
      <c r="D172" s="1" t="s">
        <v>555</v>
      </c>
      <c r="E172" s="1" t="s">
        <v>596</v>
      </c>
      <c r="F172" s="1" t="s">
        <v>588</v>
      </c>
      <c r="G172" s="19">
        <v>8</v>
      </c>
      <c r="H172" s="19">
        <v>44</v>
      </c>
      <c r="I172" s="19">
        <v>18</v>
      </c>
      <c r="J172" s="19">
        <v>31</v>
      </c>
      <c r="K172" s="2" t="s">
        <v>127</v>
      </c>
      <c r="L172" s="2" t="s">
        <v>453</v>
      </c>
      <c r="M172" s="19">
        <v>2022</v>
      </c>
      <c r="N172" s="1" t="s">
        <v>440</v>
      </c>
      <c r="O172" s="19">
        <v>220</v>
      </c>
      <c r="P172" s="1" t="s">
        <v>18</v>
      </c>
      <c r="Q172" s="19">
        <v>3</v>
      </c>
      <c r="R172" s="19">
        <v>2</v>
      </c>
      <c r="S172" s="19">
        <v>19</v>
      </c>
      <c r="T172" s="14">
        <v>78000</v>
      </c>
      <c r="U172" s="14">
        <v>88000</v>
      </c>
      <c r="V172" s="14">
        <v>55000</v>
      </c>
      <c r="W172" s="4">
        <f t="shared" si="6"/>
        <v>0.12820512820512819</v>
      </c>
      <c r="Z172" s="11">
        <f t="shared" si="7"/>
        <v>0.625</v>
      </c>
      <c r="AA172" s="19">
        <f t="shared" si="8"/>
        <v>33000</v>
      </c>
    </row>
    <row r="173" spans="2:27" x14ac:dyDescent="0.45">
      <c r="B173" s="7">
        <v>715</v>
      </c>
      <c r="C173" s="1" t="s">
        <v>33</v>
      </c>
      <c r="D173" s="1" t="s">
        <v>652</v>
      </c>
      <c r="E173" s="1" t="s">
        <v>686</v>
      </c>
      <c r="F173" s="1" t="s">
        <v>687</v>
      </c>
      <c r="G173" s="19">
        <v>6</v>
      </c>
      <c r="H173" s="19">
        <v>55</v>
      </c>
      <c r="I173" s="19">
        <v>35</v>
      </c>
      <c r="J173" s="19">
        <v>48</v>
      </c>
      <c r="K173" s="1" t="s">
        <v>50</v>
      </c>
      <c r="L173" s="2" t="s">
        <v>439</v>
      </c>
      <c r="M173" s="19">
        <v>2010</v>
      </c>
      <c r="N173" s="1" t="s">
        <v>440</v>
      </c>
      <c r="O173" s="19">
        <v>339</v>
      </c>
      <c r="P173" s="5" t="s">
        <v>18</v>
      </c>
      <c r="Q173" s="18">
        <v>3</v>
      </c>
      <c r="R173" s="19">
        <v>2</v>
      </c>
      <c r="S173" s="18">
        <v>33</v>
      </c>
      <c r="T173" s="14">
        <v>87000</v>
      </c>
      <c r="U173" s="14">
        <v>88000</v>
      </c>
      <c r="V173" s="14">
        <v>53000</v>
      </c>
      <c r="W173" s="4">
        <f t="shared" si="6"/>
        <v>1.1494252873563218E-2</v>
      </c>
      <c r="Z173" s="11">
        <f t="shared" si="7"/>
        <v>0.60227272727272729</v>
      </c>
      <c r="AA173" s="19">
        <f t="shared" si="8"/>
        <v>35000</v>
      </c>
    </row>
    <row r="174" spans="2:27" x14ac:dyDescent="0.45">
      <c r="B174" s="7">
        <v>861</v>
      </c>
      <c r="C174" s="1" t="s">
        <v>95</v>
      </c>
      <c r="D174" s="1" t="s">
        <v>781</v>
      </c>
      <c r="E174" s="1" t="s">
        <v>792</v>
      </c>
      <c r="F174" s="1" t="s">
        <v>793</v>
      </c>
      <c r="G174" s="19">
        <v>5</v>
      </c>
      <c r="H174" s="19">
        <v>40</v>
      </c>
      <c r="I174" s="19">
        <v>32</v>
      </c>
      <c r="J174" s="19">
        <v>32</v>
      </c>
      <c r="K174" s="1" t="s">
        <v>388</v>
      </c>
      <c r="L174" s="2" t="s">
        <v>439</v>
      </c>
      <c r="M174" s="19">
        <v>2002</v>
      </c>
      <c r="N174" s="1" t="s">
        <v>440</v>
      </c>
      <c r="O174" s="19">
        <v>302</v>
      </c>
      <c r="P174" s="1" t="s">
        <v>18</v>
      </c>
      <c r="Q174" s="19">
        <v>2</v>
      </c>
      <c r="R174" s="19">
        <v>1</v>
      </c>
      <c r="S174" s="19">
        <v>25</v>
      </c>
      <c r="T174" s="14">
        <v>78000</v>
      </c>
      <c r="U174" s="14">
        <v>88000</v>
      </c>
      <c r="V174" s="14">
        <v>41000</v>
      </c>
      <c r="W174" s="4">
        <f t="shared" si="6"/>
        <v>0.12820512820512819</v>
      </c>
      <c r="Z174" s="11">
        <f t="shared" si="7"/>
        <v>0.46590909090909088</v>
      </c>
      <c r="AA174" s="19">
        <f t="shared" si="8"/>
        <v>47000</v>
      </c>
    </row>
    <row r="175" spans="2:27" x14ac:dyDescent="0.45">
      <c r="B175" s="7">
        <v>524</v>
      </c>
      <c r="C175" s="1" t="s">
        <v>26</v>
      </c>
      <c r="D175" s="1" t="s">
        <v>555</v>
      </c>
      <c r="E175" s="1" t="s">
        <v>595</v>
      </c>
      <c r="F175" s="1" t="s">
        <v>587</v>
      </c>
      <c r="G175" s="19">
        <v>5</v>
      </c>
      <c r="H175" s="19">
        <v>44</v>
      </c>
      <c r="I175" s="19">
        <v>20</v>
      </c>
      <c r="J175" s="19">
        <v>33</v>
      </c>
      <c r="K175" s="2" t="s">
        <v>128</v>
      </c>
      <c r="L175" s="2" t="s">
        <v>439</v>
      </c>
      <c r="M175" s="19">
        <v>2000</v>
      </c>
      <c r="N175" s="1" t="s">
        <v>440</v>
      </c>
      <c r="O175" s="19">
        <v>241</v>
      </c>
      <c r="P175" s="1" t="s">
        <v>18</v>
      </c>
      <c r="Q175" s="19">
        <v>3</v>
      </c>
      <c r="R175" s="19">
        <v>1</v>
      </c>
      <c r="S175" s="19">
        <v>24</v>
      </c>
      <c r="T175" s="14">
        <v>71000</v>
      </c>
      <c r="U175" s="14">
        <v>89000</v>
      </c>
      <c r="V175" s="14">
        <v>48000</v>
      </c>
      <c r="W175" s="4">
        <f t="shared" si="6"/>
        <v>0.25352112676056338</v>
      </c>
      <c r="Z175" s="11">
        <f t="shared" si="7"/>
        <v>0.5393258426966292</v>
      </c>
      <c r="AA175" s="19">
        <f t="shared" si="8"/>
        <v>41000</v>
      </c>
    </row>
    <row r="176" spans="2:27" x14ac:dyDescent="0.45">
      <c r="B176" s="7">
        <v>778</v>
      </c>
      <c r="C176" s="5" t="s">
        <v>242</v>
      </c>
      <c r="D176" s="5" t="s">
        <v>711</v>
      </c>
      <c r="E176" s="1" t="s">
        <v>742</v>
      </c>
      <c r="F176" s="1" t="s">
        <v>736</v>
      </c>
      <c r="G176" s="19">
        <v>8</v>
      </c>
      <c r="H176" s="19">
        <v>53</v>
      </c>
      <c r="I176" s="19">
        <v>65</v>
      </c>
      <c r="J176" s="19">
        <v>45</v>
      </c>
      <c r="K176" s="5" t="s">
        <v>243</v>
      </c>
      <c r="L176" s="2" t="s">
        <v>453</v>
      </c>
      <c r="M176" s="18">
        <v>2020</v>
      </c>
      <c r="N176" s="1" t="s">
        <v>447</v>
      </c>
      <c r="O176" s="18">
        <v>810</v>
      </c>
      <c r="P176" s="5" t="s">
        <v>18</v>
      </c>
      <c r="Q176" s="18">
        <v>3</v>
      </c>
      <c r="R176" s="18">
        <v>2</v>
      </c>
      <c r="S176" s="18">
        <v>24</v>
      </c>
      <c r="T176" s="14">
        <v>101500</v>
      </c>
      <c r="U176" s="14">
        <v>89000</v>
      </c>
      <c r="V176" s="14">
        <v>51000</v>
      </c>
      <c r="W176" s="4">
        <f t="shared" si="6"/>
        <v>-0.12315270935960591</v>
      </c>
      <c r="Z176" s="11">
        <f t="shared" si="7"/>
        <v>0.5730337078651685</v>
      </c>
      <c r="AA176" s="19">
        <f t="shared" si="8"/>
        <v>38000</v>
      </c>
    </row>
    <row r="177" spans="2:27" x14ac:dyDescent="0.45">
      <c r="B177" s="7">
        <v>929</v>
      </c>
      <c r="C177" s="1" t="s">
        <v>95</v>
      </c>
      <c r="D177" s="1" t="s">
        <v>781</v>
      </c>
      <c r="E177" s="1" t="s">
        <v>814</v>
      </c>
      <c r="F177" s="1" t="s">
        <v>815</v>
      </c>
      <c r="G177" s="19">
        <v>5</v>
      </c>
      <c r="H177" s="19">
        <v>35</v>
      </c>
      <c r="I177" s="19">
        <v>27</v>
      </c>
      <c r="J177" s="19">
        <v>28</v>
      </c>
      <c r="K177" s="1" t="s">
        <v>96</v>
      </c>
      <c r="L177" s="2" t="s">
        <v>439</v>
      </c>
      <c r="M177" s="19">
        <v>2000</v>
      </c>
      <c r="N177" s="1" t="s">
        <v>447</v>
      </c>
      <c r="O177" s="19">
        <v>739</v>
      </c>
      <c r="P177" s="1" t="s">
        <v>18</v>
      </c>
      <c r="Q177" s="19">
        <v>3</v>
      </c>
      <c r="R177" s="19">
        <v>2</v>
      </c>
      <c r="S177" s="19">
        <v>33</v>
      </c>
      <c r="T177" s="14">
        <v>100500</v>
      </c>
      <c r="U177" s="14">
        <v>89000</v>
      </c>
      <c r="V177" s="14">
        <v>56000</v>
      </c>
      <c r="W177" s="4">
        <f t="shared" si="6"/>
        <v>-0.11442786069651742</v>
      </c>
      <c r="Z177" s="11">
        <f t="shared" si="7"/>
        <v>0.6292134831460674</v>
      </c>
      <c r="AA177" s="19">
        <f t="shared" si="8"/>
        <v>33000</v>
      </c>
    </row>
    <row r="178" spans="2:27" x14ac:dyDescent="0.45">
      <c r="B178" s="7">
        <v>705</v>
      </c>
      <c r="C178" s="1" t="s">
        <v>35</v>
      </c>
      <c r="D178" s="1" t="s">
        <v>652</v>
      </c>
      <c r="E178" s="1" t="s">
        <v>678</v>
      </c>
      <c r="F178" s="1" t="s">
        <v>677</v>
      </c>
      <c r="G178" s="19">
        <v>5</v>
      </c>
      <c r="H178" s="19">
        <v>38</v>
      </c>
      <c r="I178" s="19">
        <v>18</v>
      </c>
      <c r="J178" s="19">
        <v>28</v>
      </c>
      <c r="K178" s="1" t="s">
        <v>69</v>
      </c>
      <c r="L178" s="2" t="s">
        <v>433</v>
      </c>
      <c r="M178" s="19">
        <v>1999</v>
      </c>
      <c r="N178" s="1" t="s">
        <v>447</v>
      </c>
      <c r="O178" s="19">
        <v>718</v>
      </c>
      <c r="P178" s="5" t="s">
        <v>18</v>
      </c>
      <c r="Q178" s="18">
        <v>3</v>
      </c>
      <c r="R178" s="19">
        <v>1</v>
      </c>
      <c r="S178" s="18">
        <v>24</v>
      </c>
      <c r="T178" s="14">
        <v>87000</v>
      </c>
      <c r="U178" s="14">
        <v>89500</v>
      </c>
      <c r="V178" s="14">
        <v>60000</v>
      </c>
      <c r="W178" s="4">
        <f t="shared" si="6"/>
        <v>2.8735632183908046E-2</v>
      </c>
      <c r="Z178" s="11">
        <f t="shared" si="7"/>
        <v>0.67039106145251393</v>
      </c>
      <c r="AA178" s="19">
        <f t="shared" si="8"/>
        <v>29500</v>
      </c>
    </row>
    <row r="179" spans="2:27" x14ac:dyDescent="0.45">
      <c r="B179" s="7">
        <v>306</v>
      </c>
      <c r="C179" s="5" t="s">
        <v>201</v>
      </c>
      <c r="D179" s="1" t="s">
        <v>541</v>
      </c>
      <c r="E179" s="1" t="s">
        <v>549</v>
      </c>
      <c r="F179" s="1" t="s">
        <v>546</v>
      </c>
      <c r="G179" s="19">
        <v>7</v>
      </c>
      <c r="H179" s="19">
        <v>48</v>
      </c>
      <c r="I179" s="19">
        <v>52</v>
      </c>
      <c r="J179" s="19">
        <v>36</v>
      </c>
      <c r="K179" s="5" t="s">
        <v>203</v>
      </c>
      <c r="L179" s="2" t="s">
        <v>439</v>
      </c>
      <c r="M179" s="18">
        <v>2010</v>
      </c>
      <c r="N179" s="1" t="s">
        <v>434</v>
      </c>
      <c r="O179" s="18">
        <v>1247</v>
      </c>
      <c r="P179" s="5" t="s">
        <v>18</v>
      </c>
      <c r="Q179" s="18">
        <v>3</v>
      </c>
      <c r="R179" s="18">
        <v>2</v>
      </c>
      <c r="S179" s="18">
        <v>24</v>
      </c>
      <c r="T179" s="14">
        <v>91700</v>
      </c>
      <c r="U179" s="14">
        <v>90000</v>
      </c>
      <c r="V179" s="14">
        <v>47000</v>
      </c>
      <c r="W179" s="4">
        <f t="shared" si="6"/>
        <v>-1.8538713195201745E-2</v>
      </c>
      <c r="Z179" s="11">
        <f t="shared" si="7"/>
        <v>0.52222222222222225</v>
      </c>
      <c r="AA179" s="19">
        <f t="shared" si="8"/>
        <v>43000</v>
      </c>
    </row>
    <row r="180" spans="2:27" x14ac:dyDescent="0.45">
      <c r="B180" s="7">
        <v>602</v>
      </c>
      <c r="C180" s="1" t="s">
        <v>58</v>
      </c>
      <c r="D180" s="1" t="s">
        <v>607</v>
      </c>
      <c r="E180" s="1" t="s">
        <v>610</v>
      </c>
      <c r="F180" s="1" t="s">
        <v>614</v>
      </c>
      <c r="G180" s="19">
        <v>6</v>
      </c>
      <c r="H180" s="19">
        <v>32</v>
      </c>
      <c r="I180" s="19">
        <v>38</v>
      </c>
      <c r="J180" s="19">
        <v>35</v>
      </c>
      <c r="K180" s="1" t="s">
        <v>59</v>
      </c>
      <c r="L180" s="2" t="s">
        <v>439</v>
      </c>
      <c r="M180" s="19">
        <v>2003</v>
      </c>
      <c r="N180" s="1" t="s">
        <v>434</v>
      </c>
      <c r="O180" s="19">
        <v>3544</v>
      </c>
      <c r="P180" s="1" t="s">
        <v>18</v>
      </c>
      <c r="Q180" s="19">
        <v>3</v>
      </c>
      <c r="R180" s="19">
        <v>1</v>
      </c>
      <c r="S180" s="19">
        <v>25</v>
      </c>
      <c r="T180" s="14">
        <v>94000</v>
      </c>
      <c r="U180" s="14">
        <v>90000</v>
      </c>
      <c r="V180" s="14">
        <v>51000</v>
      </c>
      <c r="W180" s="4">
        <f t="shared" si="6"/>
        <v>-4.2553191489361701E-2</v>
      </c>
      <c r="Z180" s="11">
        <f t="shared" si="7"/>
        <v>0.56666666666666665</v>
      </c>
      <c r="AA180" s="19">
        <f t="shared" si="8"/>
        <v>39000</v>
      </c>
    </row>
    <row r="181" spans="2:27" x14ac:dyDescent="0.45">
      <c r="B181" s="7">
        <v>692</v>
      </c>
      <c r="C181" s="1" t="s">
        <v>35</v>
      </c>
      <c r="D181" s="1" t="s">
        <v>652</v>
      </c>
      <c r="E181" s="1" t="s">
        <v>667</v>
      </c>
      <c r="F181" s="1" t="s">
        <v>666</v>
      </c>
      <c r="G181" s="19">
        <v>5</v>
      </c>
      <c r="H181" s="19">
        <v>38</v>
      </c>
      <c r="I181" s="19">
        <v>18</v>
      </c>
      <c r="J181" s="19">
        <v>28</v>
      </c>
      <c r="K181" s="1" t="s">
        <v>301</v>
      </c>
      <c r="L181" s="2" t="s">
        <v>433</v>
      </c>
      <c r="M181" s="19">
        <v>1999</v>
      </c>
      <c r="N181" s="1" t="s">
        <v>440</v>
      </c>
      <c r="O181" s="19">
        <v>260</v>
      </c>
      <c r="P181" s="5" t="s">
        <v>5</v>
      </c>
      <c r="Q181" s="18">
        <v>3</v>
      </c>
      <c r="R181" s="19">
        <v>1</v>
      </c>
      <c r="S181" s="18">
        <v>24</v>
      </c>
      <c r="T181" s="14">
        <v>93500</v>
      </c>
      <c r="U181" s="14">
        <v>90000</v>
      </c>
      <c r="V181" s="14">
        <v>40000</v>
      </c>
      <c r="W181" s="4">
        <f t="shared" si="6"/>
        <v>-3.7433155080213901E-2</v>
      </c>
      <c r="Z181" s="11">
        <f t="shared" si="7"/>
        <v>0.44444444444444442</v>
      </c>
      <c r="AA181" s="19">
        <f t="shared" si="8"/>
        <v>50000</v>
      </c>
    </row>
    <row r="182" spans="2:27" x14ac:dyDescent="0.45">
      <c r="B182" s="7">
        <v>721</v>
      </c>
      <c r="C182" s="1" t="s">
        <v>35</v>
      </c>
      <c r="D182" s="1" t="s">
        <v>652</v>
      </c>
      <c r="E182" s="1" t="s">
        <v>693</v>
      </c>
      <c r="F182" s="1" t="s">
        <v>684</v>
      </c>
      <c r="G182" s="19">
        <v>4</v>
      </c>
      <c r="H182" s="19">
        <v>46</v>
      </c>
      <c r="I182" s="19">
        <v>26</v>
      </c>
      <c r="J182" s="19">
        <v>39</v>
      </c>
      <c r="K182" s="1" t="s">
        <v>694</v>
      </c>
      <c r="L182" s="2" t="s">
        <v>433</v>
      </c>
      <c r="M182" s="19">
        <v>1999</v>
      </c>
      <c r="N182" s="1" t="s">
        <v>434</v>
      </c>
      <c r="O182" s="19">
        <v>1983</v>
      </c>
      <c r="P182" s="5" t="s">
        <v>18</v>
      </c>
      <c r="Q182" s="18">
        <v>3</v>
      </c>
      <c r="R182" s="19">
        <v>2</v>
      </c>
      <c r="S182" s="18">
        <v>33</v>
      </c>
      <c r="T182" s="14">
        <v>100000</v>
      </c>
      <c r="U182" s="14">
        <v>90000</v>
      </c>
      <c r="V182" s="14">
        <v>52000</v>
      </c>
      <c r="W182" s="4">
        <f t="shared" si="6"/>
        <v>-0.1</v>
      </c>
      <c r="Z182" s="11">
        <f t="shared" si="7"/>
        <v>0.57777777777777772</v>
      </c>
      <c r="AA182" s="19">
        <f t="shared" si="8"/>
        <v>38000</v>
      </c>
    </row>
    <row r="183" spans="2:27" x14ac:dyDescent="0.45">
      <c r="B183" s="7">
        <v>723</v>
      </c>
      <c r="C183" s="1" t="s">
        <v>35</v>
      </c>
      <c r="D183" s="1" t="s">
        <v>652</v>
      </c>
      <c r="E183" s="1" t="s">
        <v>695</v>
      </c>
      <c r="F183" s="1" t="s">
        <v>696</v>
      </c>
      <c r="G183" s="19">
        <v>6</v>
      </c>
      <c r="H183" s="19">
        <v>58</v>
      </c>
      <c r="I183" s="19">
        <v>38</v>
      </c>
      <c r="J183" s="19">
        <v>51</v>
      </c>
      <c r="K183" s="1" t="s">
        <v>36</v>
      </c>
      <c r="L183" s="2" t="s">
        <v>439</v>
      </c>
      <c r="M183" s="19">
        <v>2014</v>
      </c>
      <c r="N183" s="1" t="s">
        <v>447</v>
      </c>
      <c r="O183" s="19">
        <v>978</v>
      </c>
      <c r="P183" s="5" t="s">
        <v>18</v>
      </c>
      <c r="Q183" s="18">
        <v>3</v>
      </c>
      <c r="R183" s="19">
        <v>2</v>
      </c>
      <c r="S183" s="18">
        <v>33</v>
      </c>
      <c r="T183" s="14">
        <v>105000</v>
      </c>
      <c r="U183" s="14">
        <v>90000</v>
      </c>
      <c r="V183" s="14">
        <v>54000</v>
      </c>
      <c r="W183" s="4">
        <f t="shared" si="6"/>
        <v>-0.14285714285714285</v>
      </c>
      <c r="Z183" s="11">
        <f t="shared" si="7"/>
        <v>0.6</v>
      </c>
      <c r="AA183" s="19">
        <f t="shared" si="8"/>
        <v>36000</v>
      </c>
    </row>
    <row r="184" spans="2:27" x14ac:dyDescent="0.45">
      <c r="B184" s="7">
        <v>752</v>
      </c>
      <c r="C184" s="5" t="s">
        <v>242</v>
      </c>
      <c r="D184" s="5" t="s">
        <v>711</v>
      </c>
      <c r="E184" s="1" t="s">
        <v>724</v>
      </c>
      <c r="F184" s="1" t="s">
        <v>723</v>
      </c>
      <c r="G184" s="19">
        <v>5</v>
      </c>
      <c r="H184" s="19">
        <v>60</v>
      </c>
      <c r="I184" s="19">
        <v>70</v>
      </c>
      <c r="J184" s="19">
        <v>53</v>
      </c>
      <c r="K184" s="5" t="s">
        <v>384</v>
      </c>
      <c r="L184" s="2" t="s">
        <v>433</v>
      </c>
      <c r="M184" s="18">
        <v>1989</v>
      </c>
      <c r="N184" s="1" t="s">
        <v>434</v>
      </c>
      <c r="O184" s="18">
        <v>1890</v>
      </c>
      <c r="P184" s="5" t="s">
        <v>18</v>
      </c>
      <c r="Q184" s="18">
        <v>3</v>
      </c>
      <c r="R184" s="18">
        <v>2</v>
      </c>
      <c r="S184" s="18">
        <v>33</v>
      </c>
      <c r="T184" s="14">
        <v>99000</v>
      </c>
      <c r="U184" s="14">
        <v>90000</v>
      </c>
      <c r="V184" s="14">
        <v>53000</v>
      </c>
      <c r="W184" s="4">
        <f t="shared" si="6"/>
        <v>-9.0909090909090912E-2</v>
      </c>
      <c r="Z184" s="11">
        <f t="shared" si="7"/>
        <v>0.58888888888888891</v>
      </c>
      <c r="AA184" s="19">
        <f t="shared" si="8"/>
        <v>37000</v>
      </c>
    </row>
    <row r="185" spans="2:27" x14ac:dyDescent="0.45">
      <c r="B185" s="7">
        <v>754</v>
      </c>
      <c r="C185" s="5" t="s">
        <v>726</v>
      </c>
      <c r="D185" s="5" t="s">
        <v>711</v>
      </c>
      <c r="E185" s="1" t="s">
        <v>727</v>
      </c>
      <c r="F185" s="1" t="s">
        <v>728</v>
      </c>
      <c r="G185" s="19">
        <v>6</v>
      </c>
      <c r="H185" s="19">
        <v>55</v>
      </c>
      <c r="I185" s="19">
        <v>45</v>
      </c>
      <c r="J185" s="19">
        <v>42</v>
      </c>
      <c r="K185" s="5" t="s">
        <v>342</v>
      </c>
      <c r="L185" s="2" t="s">
        <v>439</v>
      </c>
      <c r="M185" s="18">
        <v>2005</v>
      </c>
      <c r="N185" s="1" t="s">
        <v>440</v>
      </c>
      <c r="O185" s="18">
        <v>484</v>
      </c>
      <c r="P185" s="5" t="s">
        <v>18</v>
      </c>
      <c r="Q185" s="18">
        <v>3</v>
      </c>
      <c r="R185" s="18">
        <v>2</v>
      </c>
      <c r="S185" s="18">
        <v>24</v>
      </c>
      <c r="T185" s="14">
        <v>88000</v>
      </c>
      <c r="U185" s="14">
        <v>90000</v>
      </c>
      <c r="V185" s="14">
        <v>38000</v>
      </c>
      <c r="W185" s="4">
        <f t="shared" si="6"/>
        <v>2.2727272727272728E-2</v>
      </c>
      <c r="Z185" s="11">
        <f t="shared" si="7"/>
        <v>0.42222222222222222</v>
      </c>
      <c r="AA185" s="19">
        <f t="shared" si="8"/>
        <v>52000</v>
      </c>
    </row>
    <row r="186" spans="2:27" x14ac:dyDescent="0.45">
      <c r="B186" s="7">
        <v>764</v>
      </c>
      <c r="C186" s="5" t="s">
        <v>248</v>
      </c>
      <c r="D186" s="5" t="s">
        <v>711</v>
      </c>
      <c r="E186" s="1" t="s">
        <v>735</v>
      </c>
      <c r="F186" s="1" t="s">
        <v>736</v>
      </c>
      <c r="G186" s="19">
        <v>4</v>
      </c>
      <c r="H186" s="19">
        <v>50</v>
      </c>
      <c r="I186" s="19">
        <v>62</v>
      </c>
      <c r="J186" s="19">
        <v>42</v>
      </c>
      <c r="K186" s="5" t="s">
        <v>249</v>
      </c>
      <c r="L186" s="2" t="s">
        <v>453</v>
      </c>
      <c r="M186" s="18">
        <v>2020</v>
      </c>
      <c r="N186" s="1" t="s">
        <v>434</v>
      </c>
      <c r="O186" s="18">
        <v>1062</v>
      </c>
      <c r="P186" s="5" t="s">
        <v>18</v>
      </c>
      <c r="Q186" s="18">
        <v>3</v>
      </c>
      <c r="R186" s="18">
        <v>2</v>
      </c>
      <c r="S186" s="18">
        <v>24</v>
      </c>
      <c r="T186" s="14">
        <v>98700</v>
      </c>
      <c r="U186" s="14">
        <v>90000</v>
      </c>
      <c r="V186" s="14">
        <v>60000</v>
      </c>
      <c r="W186" s="4">
        <f t="shared" si="6"/>
        <v>-8.8145896656534953E-2</v>
      </c>
      <c r="Z186" s="11">
        <f t="shared" si="7"/>
        <v>0.66666666666666663</v>
      </c>
      <c r="AA186" s="19">
        <f t="shared" si="8"/>
        <v>30000</v>
      </c>
    </row>
    <row r="187" spans="2:27" x14ac:dyDescent="0.45">
      <c r="B187" s="7">
        <v>782</v>
      </c>
      <c r="C187" s="5" t="s">
        <v>726</v>
      </c>
      <c r="D187" s="5" t="s">
        <v>711</v>
      </c>
      <c r="E187" s="1" t="s">
        <v>745</v>
      </c>
      <c r="F187" s="1" t="s">
        <v>746</v>
      </c>
      <c r="G187" s="19">
        <v>6</v>
      </c>
      <c r="H187" s="19">
        <v>40</v>
      </c>
      <c r="I187" s="19">
        <v>50</v>
      </c>
      <c r="J187" s="19">
        <v>45</v>
      </c>
      <c r="K187" s="5" t="s">
        <v>747</v>
      </c>
      <c r="L187" s="2" t="s">
        <v>453</v>
      </c>
      <c r="M187" s="18">
        <v>2022</v>
      </c>
      <c r="N187" s="1" t="s">
        <v>434</v>
      </c>
      <c r="O187" s="18">
        <v>1308</v>
      </c>
      <c r="P187" s="5" t="s">
        <v>18</v>
      </c>
      <c r="Q187" s="18">
        <v>3</v>
      </c>
      <c r="R187" s="18">
        <v>2</v>
      </c>
      <c r="S187" s="18">
        <v>24</v>
      </c>
      <c r="T187" s="14">
        <v>100000</v>
      </c>
      <c r="U187" s="14">
        <v>90000</v>
      </c>
      <c r="V187" s="14">
        <v>53000</v>
      </c>
      <c r="W187" s="4">
        <f t="shared" si="6"/>
        <v>-0.1</v>
      </c>
      <c r="Z187" s="11">
        <f t="shared" si="7"/>
        <v>0.58888888888888891</v>
      </c>
      <c r="AA187" s="19">
        <f t="shared" si="8"/>
        <v>37000</v>
      </c>
    </row>
    <row r="188" spans="2:27" x14ac:dyDescent="0.45">
      <c r="B188" s="7">
        <v>885</v>
      </c>
      <c r="C188" s="1" t="s">
        <v>95</v>
      </c>
      <c r="D188" s="1" t="s">
        <v>781</v>
      </c>
      <c r="E188" s="1" t="s">
        <v>800</v>
      </c>
      <c r="F188" s="1" t="s">
        <v>803</v>
      </c>
      <c r="G188" s="19">
        <v>6</v>
      </c>
      <c r="H188" s="19">
        <v>40</v>
      </c>
      <c r="I188" s="19">
        <v>38</v>
      </c>
      <c r="J188" s="19">
        <v>40</v>
      </c>
      <c r="K188" s="1" t="s">
        <v>374</v>
      </c>
      <c r="L188" s="2" t="s">
        <v>439</v>
      </c>
      <c r="M188" s="19">
        <v>2003</v>
      </c>
      <c r="N188" s="1" t="s">
        <v>447</v>
      </c>
      <c r="O188" s="19">
        <v>558</v>
      </c>
      <c r="P188" s="1" t="s">
        <v>18</v>
      </c>
      <c r="Q188" s="19">
        <v>3</v>
      </c>
      <c r="R188" s="19">
        <v>2</v>
      </c>
      <c r="S188" s="19">
        <v>25</v>
      </c>
      <c r="T188" s="14">
        <v>97000</v>
      </c>
      <c r="U188" s="14">
        <v>90000</v>
      </c>
      <c r="V188" s="14">
        <v>53000</v>
      </c>
      <c r="W188" s="4">
        <f t="shared" si="6"/>
        <v>-7.2164948453608241E-2</v>
      </c>
      <c r="Z188" s="11">
        <f t="shared" si="7"/>
        <v>0.58888888888888891</v>
      </c>
      <c r="AA188" s="19">
        <f t="shared" si="8"/>
        <v>37000</v>
      </c>
    </row>
    <row r="189" spans="2:27" x14ac:dyDescent="0.45">
      <c r="B189" s="7">
        <v>1612</v>
      </c>
      <c r="C189" s="1" t="s">
        <v>13</v>
      </c>
      <c r="D189" s="1" t="s">
        <v>998</v>
      </c>
      <c r="E189" s="1" t="s">
        <v>1005</v>
      </c>
      <c r="F189" s="1" t="s">
        <v>1006</v>
      </c>
      <c r="G189" s="19">
        <v>5</v>
      </c>
      <c r="H189" s="19">
        <v>55</v>
      </c>
      <c r="I189" s="19">
        <v>48</v>
      </c>
      <c r="J189" s="19">
        <v>35</v>
      </c>
      <c r="K189" s="1" t="s">
        <v>1007</v>
      </c>
      <c r="L189" s="2" t="s">
        <v>439</v>
      </c>
      <c r="M189" s="19">
        <v>2009</v>
      </c>
      <c r="N189" s="1" t="s">
        <v>447</v>
      </c>
      <c r="O189" s="19">
        <v>527</v>
      </c>
      <c r="P189" s="1" t="s">
        <v>18</v>
      </c>
      <c r="Q189" s="19">
        <v>3</v>
      </c>
      <c r="R189" s="19">
        <v>2</v>
      </c>
      <c r="S189" s="19">
        <v>33</v>
      </c>
      <c r="T189" s="14">
        <v>96500</v>
      </c>
      <c r="U189" s="14">
        <v>90000</v>
      </c>
      <c r="V189" s="14">
        <v>62000</v>
      </c>
      <c r="W189" s="4">
        <f t="shared" si="6"/>
        <v>-6.7357512953367879E-2</v>
      </c>
      <c r="Z189" s="11">
        <f t="shared" si="7"/>
        <v>0.68888888888888888</v>
      </c>
      <c r="AA189" s="19">
        <f t="shared" si="8"/>
        <v>28000</v>
      </c>
    </row>
    <row r="190" spans="2:27" x14ac:dyDescent="0.45">
      <c r="B190" s="7">
        <v>1909</v>
      </c>
      <c r="C190" s="1" t="s">
        <v>73</v>
      </c>
      <c r="D190" s="1" t="s">
        <v>1077</v>
      </c>
      <c r="E190" s="1" t="s">
        <v>1084</v>
      </c>
      <c r="F190" s="1" t="s">
        <v>1083</v>
      </c>
      <c r="G190" s="19">
        <v>6</v>
      </c>
      <c r="H190" s="19">
        <v>52</v>
      </c>
      <c r="I190" s="19">
        <v>28</v>
      </c>
      <c r="J190" s="19">
        <v>38</v>
      </c>
      <c r="K190" s="1" t="s">
        <v>1085</v>
      </c>
      <c r="L190" s="2" t="s">
        <v>433</v>
      </c>
      <c r="M190" s="19">
        <v>1999</v>
      </c>
      <c r="N190" s="1" t="s">
        <v>447</v>
      </c>
      <c r="O190" s="19">
        <v>997</v>
      </c>
      <c r="P190" s="1" t="s">
        <v>5</v>
      </c>
      <c r="Q190" s="19">
        <v>3</v>
      </c>
      <c r="R190" s="19">
        <v>1</v>
      </c>
      <c r="S190" s="19">
        <v>25</v>
      </c>
      <c r="T190" s="14">
        <v>88900</v>
      </c>
      <c r="U190" s="14">
        <v>90000</v>
      </c>
      <c r="V190" s="14">
        <v>38000</v>
      </c>
      <c r="W190" s="4">
        <f t="shared" si="6"/>
        <v>1.2373453318335208E-2</v>
      </c>
      <c r="Z190" s="11">
        <f t="shared" si="7"/>
        <v>0.42222222222222222</v>
      </c>
      <c r="AA190" s="19">
        <f t="shared" si="8"/>
        <v>52000</v>
      </c>
    </row>
    <row r="191" spans="2:27" x14ac:dyDescent="0.45">
      <c r="B191" s="7">
        <v>2189</v>
      </c>
      <c r="C191" s="1" t="s">
        <v>1166</v>
      </c>
      <c r="D191" s="1" t="s">
        <v>1150</v>
      </c>
      <c r="E191" s="1" t="s">
        <v>1167</v>
      </c>
      <c r="F191" s="1" t="s">
        <v>1161</v>
      </c>
      <c r="G191" s="19">
        <v>8</v>
      </c>
      <c r="H191" s="19">
        <v>55</v>
      </c>
      <c r="I191" s="19">
        <v>35</v>
      </c>
      <c r="J191" s="19">
        <v>35</v>
      </c>
      <c r="K191" s="2" t="s">
        <v>304</v>
      </c>
      <c r="L191" s="2" t="s">
        <v>453</v>
      </c>
      <c r="M191" s="19">
        <v>2019</v>
      </c>
      <c r="N191" s="1" t="s">
        <v>440</v>
      </c>
      <c r="O191" s="19">
        <v>380</v>
      </c>
      <c r="P191" s="1" t="s">
        <v>18</v>
      </c>
      <c r="Q191" s="19">
        <v>3</v>
      </c>
      <c r="R191" s="19">
        <v>2</v>
      </c>
      <c r="S191" s="19">
        <v>30</v>
      </c>
      <c r="T191" s="14">
        <v>97800</v>
      </c>
      <c r="U191" s="14">
        <v>90000</v>
      </c>
      <c r="V191" s="14">
        <v>55000</v>
      </c>
      <c r="W191" s="4">
        <f t="shared" si="6"/>
        <v>-7.9754601226993863E-2</v>
      </c>
      <c r="Z191" s="11">
        <f t="shared" si="7"/>
        <v>0.61111111111111116</v>
      </c>
      <c r="AA191" s="19">
        <f t="shared" si="8"/>
        <v>35000</v>
      </c>
    </row>
    <row r="192" spans="2:27" x14ac:dyDescent="0.45">
      <c r="B192" s="7">
        <v>2213</v>
      </c>
      <c r="C192" s="1" t="s">
        <v>92</v>
      </c>
      <c r="D192" s="1" t="s">
        <v>1150</v>
      </c>
      <c r="E192" s="1" t="s">
        <v>1171</v>
      </c>
      <c r="F192" s="1" t="s">
        <v>1168</v>
      </c>
      <c r="G192" s="19">
        <v>8</v>
      </c>
      <c r="H192" s="19">
        <v>52</v>
      </c>
      <c r="I192" s="19">
        <v>25</v>
      </c>
      <c r="J192" s="19">
        <v>30</v>
      </c>
      <c r="K192" s="2" t="s">
        <v>279</v>
      </c>
      <c r="L192" s="2" t="s">
        <v>453</v>
      </c>
      <c r="M192" s="19">
        <v>2021</v>
      </c>
      <c r="N192" s="1" t="s">
        <v>434</v>
      </c>
      <c r="O192" s="19">
        <v>1192</v>
      </c>
      <c r="P192" s="1" t="s">
        <v>18</v>
      </c>
      <c r="Q192" s="19">
        <v>2</v>
      </c>
      <c r="R192" s="19">
        <v>1</v>
      </c>
      <c r="S192" s="19">
        <v>22</v>
      </c>
      <c r="T192" s="14">
        <v>0</v>
      </c>
      <c r="U192" s="14">
        <v>90000</v>
      </c>
      <c r="V192" s="14">
        <v>45000</v>
      </c>
      <c r="W192" s="4" t="e">
        <f t="shared" si="6"/>
        <v>#DIV/0!</v>
      </c>
      <c r="Z192" s="11">
        <f t="shared" si="7"/>
        <v>0.5</v>
      </c>
      <c r="AA192" s="19">
        <f t="shared" si="8"/>
        <v>45000</v>
      </c>
    </row>
    <row r="193" spans="2:27" x14ac:dyDescent="0.45">
      <c r="B193" s="7">
        <v>2310</v>
      </c>
      <c r="C193" s="5" t="s">
        <v>179</v>
      </c>
      <c r="D193" s="5" t="s">
        <v>1204</v>
      </c>
      <c r="E193" s="1" t="s">
        <v>1209</v>
      </c>
      <c r="F193" s="1" t="s">
        <v>1208</v>
      </c>
      <c r="G193" s="19">
        <v>6</v>
      </c>
      <c r="H193" s="19">
        <v>55</v>
      </c>
      <c r="I193" s="19">
        <v>65</v>
      </c>
      <c r="J193" s="19">
        <v>50</v>
      </c>
      <c r="K193" s="5" t="s">
        <v>293</v>
      </c>
      <c r="L193" s="2" t="s">
        <v>439</v>
      </c>
      <c r="M193" s="18">
        <v>2010</v>
      </c>
      <c r="N193" s="1" t="s">
        <v>434</v>
      </c>
      <c r="O193" s="18">
        <v>1326</v>
      </c>
      <c r="P193" s="5" t="s">
        <v>18</v>
      </c>
      <c r="Q193" s="18">
        <v>3</v>
      </c>
      <c r="R193" s="18">
        <v>2</v>
      </c>
      <c r="S193" s="18">
        <v>33</v>
      </c>
      <c r="T193" s="14">
        <v>100000</v>
      </c>
      <c r="U193" s="14">
        <v>90000</v>
      </c>
      <c r="V193" s="14">
        <v>55000</v>
      </c>
      <c r="W193" s="4">
        <f t="shared" si="6"/>
        <v>-0.1</v>
      </c>
      <c r="Z193" s="11">
        <f t="shared" si="7"/>
        <v>0.61111111111111116</v>
      </c>
      <c r="AA193" s="19">
        <f t="shared" si="8"/>
        <v>35000</v>
      </c>
    </row>
    <row r="194" spans="2:27" x14ac:dyDescent="0.45">
      <c r="B194" s="7">
        <v>2316</v>
      </c>
      <c r="C194" s="5" t="s">
        <v>178</v>
      </c>
      <c r="D194" s="5" t="s">
        <v>1204</v>
      </c>
      <c r="E194" s="1" t="s">
        <v>1214</v>
      </c>
      <c r="F194" s="1" t="s">
        <v>1206</v>
      </c>
      <c r="G194" s="19">
        <v>3</v>
      </c>
      <c r="H194" s="19">
        <v>50</v>
      </c>
      <c r="I194" s="19">
        <v>55</v>
      </c>
      <c r="J194" s="19">
        <v>40</v>
      </c>
      <c r="K194" s="5" t="s">
        <v>196</v>
      </c>
      <c r="L194" s="2" t="s">
        <v>1215</v>
      </c>
      <c r="M194" s="18">
        <v>2002</v>
      </c>
      <c r="N194" s="1" t="s">
        <v>447</v>
      </c>
      <c r="O194" s="18">
        <v>601</v>
      </c>
      <c r="P194" s="5" t="s">
        <v>18</v>
      </c>
      <c r="Q194" s="18">
        <v>3</v>
      </c>
      <c r="R194" s="18">
        <v>2</v>
      </c>
      <c r="S194" s="18">
        <v>33</v>
      </c>
      <c r="T194" s="14">
        <v>100000</v>
      </c>
      <c r="U194" s="14">
        <v>90000</v>
      </c>
      <c r="V194" s="14">
        <v>62000</v>
      </c>
      <c r="W194" s="4">
        <f t="shared" si="6"/>
        <v>-0.1</v>
      </c>
      <c r="Z194" s="11">
        <f t="shared" si="7"/>
        <v>0.68888888888888888</v>
      </c>
      <c r="AA194" s="19">
        <f t="shared" si="8"/>
        <v>28000</v>
      </c>
    </row>
    <row r="195" spans="2:27" x14ac:dyDescent="0.45">
      <c r="B195" s="7">
        <v>2317</v>
      </c>
      <c r="C195" s="5" t="s">
        <v>178</v>
      </c>
      <c r="D195" s="5" t="s">
        <v>1204</v>
      </c>
      <c r="E195" s="1" t="s">
        <v>1216</v>
      </c>
      <c r="F195" s="1" t="s">
        <v>1217</v>
      </c>
      <c r="G195" s="19">
        <v>5</v>
      </c>
      <c r="H195" s="19">
        <v>50</v>
      </c>
      <c r="I195" s="19">
        <v>60</v>
      </c>
      <c r="J195" s="19">
        <v>45</v>
      </c>
      <c r="K195" s="5" t="s">
        <v>195</v>
      </c>
      <c r="L195" s="2" t="s">
        <v>453</v>
      </c>
      <c r="M195" s="18">
        <v>2017</v>
      </c>
      <c r="N195" s="1" t="s">
        <v>447</v>
      </c>
      <c r="O195" s="18">
        <v>719</v>
      </c>
      <c r="P195" s="5" t="s">
        <v>18</v>
      </c>
      <c r="Q195" s="18">
        <v>3</v>
      </c>
      <c r="R195" s="18">
        <v>2</v>
      </c>
      <c r="S195" s="18">
        <v>24</v>
      </c>
      <c r="T195" s="14">
        <v>90500</v>
      </c>
      <c r="U195" s="14">
        <v>90000</v>
      </c>
      <c r="V195" s="14">
        <v>55000</v>
      </c>
      <c r="W195" s="4">
        <f t="shared" si="6"/>
        <v>-5.5248618784530384E-3</v>
      </c>
      <c r="Z195" s="11">
        <f t="shared" si="7"/>
        <v>0.61111111111111116</v>
      </c>
      <c r="AA195" s="19">
        <f t="shared" si="8"/>
        <v>35000</v>
      </c>
    </row>
    <row r="196" spans="2:27" x14ac:dyDescent="0.45">
      <c r="B196" s="7">
        <v>2327</v>
      </c>
      <c r="C196" s="5" t="s">
        <v>178</v>
      </c>
      <c r="D196" s="5" t="s">
        <v>1204</v>
      </c>
      <c r="E196" s="1" t="s">
        <v>1226</v>
      </c>
      <c r="F196" s="1" t="s">
        <v>1224</v>
      </c>
      <c r="G196" s="19">
        <v>8</v>
      </c>
      <c r="H196" s="19">
        <v>60</v>
      </c>
      <c r="I196" s="19">
        <v>65</v>
      </c>
      <c r="J196" s="19">
        <v>50</v>
      </c>
      <c r="K196" s="5" t="s">
        <v>1227</v>
      </c>
      <c r="L196" s="2" t="s">
        <v>453</v>
      </c>
      <c r="M196" s="19">
        <v>2021</v>
      </c>
      <c r="N196" s="1" t="s">
        <v>440</v>
      </c>
      <c r="O196" s="18">
        <v>490</v>
      </c>
      <c r="P196" s="5" t="s">
        <v>18</v>
      </c>
      <c r="Q196" s="18">
        <v>3</v>
      </c>
      <c r="R196" s="18">
        <v>2</v>
      </c>
      <c r="S196" s="18">
        <v>33</v>
      </c>
      <c r="T196" s="14">
        <v>85000</v>
      </c>
      <c r="U196" s="14">
        <v>90000</v>
      </c>
      <c r="V196" s="14">
        <v>60000</v>
      </c>
      <c r="W196" s="4">
        <f t="shared" si="6"/>
        <v>5.8823529411764705E-2</v>
      </c>
      <c r="Z196" s="11">
        <f t="shared" si="7"/>
        <v>0.66666666666666663</v>
      </c>
      <c r="AA196" s="19">
        <f t="shared" si="8"/>
        <v>30000</v>
      </c>
    </row>
    <row r="197" spans="2:27" x14ac:dyDescent="0.45">
      <c r="B197" s="7">
        <v>389</v>
      </c>
      <c r="C197" s="1" t="s">
        <v>86</v>
      </c>
      <c r="D197" s="1" t="s">
        <v>555</v>
      </c>
      <c r="E197" s="1" t="s">
        <v>568</v>
      </c>
      <c r="F197" s="1" t="s">
        <v>560</v>
      </c>
      <c r="G197" s="19">
        <v>3</v>
      </c>
      <c r="H197" s="19">
        <v>40</v>
      </c>
      <c r="I197" s="19">
        <v>13</v>
      </c>
      <c r="J197" s="19">
        <v>28</v>
      </c>
      <c r="K197" s="2" t="s">
        <v>320</v>
      </c>
      <c r="L197" s="2" t="s">
        <v>453</v>
      </c>
      <c r="M197" s="19">
        <v>2019</v>
      </c>
      <c r="N197" s="1" t="s">
        <v>440</v>
      </c>
      <c r="O197" s="19">
        <v>499</v>
      </c>
      <c r="P197" s="1" t="s">
        <v>18</v>
      </c>
      <c r="Q197" s="19">
        <v>2</v>
      </c>
      <c r="R197" s="19">
        <v>1</v>
      </c>
      <c r="S197" s="19">
        <v>22</v>
      </c>
      <c r="T197" s="14">
        <v>0</v>
      </c>
      <c r="U197" s="14">
        <v>91000</v>
      </c>
      <c r="V197" s="14">
        <v>60000</v>
      </c>
      <c r="W197" s="4" t="e">
        <f t="shared" si="6"/>
        <v>#DIV/0!</v>
      </c>
      <c r="Z197" s="11">
        <f t="shared" si="7"/>
        <v>0.65934065934065933</v>
      </c>
      <c r="AA197" s="19">
        <f t="shared" si="8"/>
        <v>31000</v>
      </c>
    </row>
    <row r="198" spans="2:27" x14ac:dyDescent="0.45">
      <c r="B198" s="7">
        <v>798</v>
      </c>
      <c r="C198" s="5" t="s">
        <v>394</v>
      </c>
      <c r="D198" s="5" t="s">
        <v>753</v>
      </c>
      <c r="E198" s="1" t="s">
        <v>764</v>
      </c>
      <c r="F198" s="1" t="s">
        <v>765</v>
      </c>
      <c r="G198" s="19">
        <v>5</v>
      </c>
      <c r="H198" s="19">
        <v>54</v>
      </c>
      <c r="I198" s="19">
        <v>67</v>
      </c>
      <c r="J198" s="19">
        <v>49</v>
      </c>
      <c r="K198" s="5" t="s">
        <v>396</v>
      </c>
      <c r="L198" s="2" t="s">
        <v>439</v>
      </c>
      <c r="M198" s="18">
        <v>2004</v>
      </c>
      <c r="N198" s="1" t="s">
        <v>434</v>
      </c>
      <c r="O198" s="18">
        <v>2061</v>
      </c>
      <c r="P198" s="5" t="s">
        <v>18</v>
      </c>
      <c r="Q198" s="18">
        <v>3</v>
      </c>
      <c r="R198" s="18">
        <v>2</v>
      </c>
      <c r="S198" s="18">
        <v>33</v>
      </c>
      <c r="T198" s="14">
        <v>120000</v>
      </c>
      <c r="U198" s="14">
        <v>91000</v>
      </c>
      <c r="V198" s="14">
        <v>55000</v>
      </c>
      <c r="W198" s="4">
        <f t="shared" ref="W198:W261" si="9">(U198-$T198)/$T198</f>
        <v>-0.24166666666666667</v>
      </c>
      <c r="Z198" s="11">
        <f t="shared" ref="Z198:Z261" si="10">V198/U198</f>
        <v>0.60439560439560436</v>
      </c>
      <c r="AA198" s="19">
        <f t="shared" ref="AA198:AA261" si="11">U198-V198</f>
        <v>36000</v>
      </c>
    </row>
    <row r="199" spans="2:27" x14ac:dyDescent="0.45">
      <c r="B199" s="7">
        <v>2167</v>
      </c>
      <c r="C199" s="1" t="s">
        <v>226</v>
      </c>
      <c r="D199" s="1" t="s">
        <v>1150</v>
      </c>
      <c r="E199" s="1" t="s">
        <v>1165</v>
      </c>
      <c r="F199" s="1" t="s">
        <v>1160</v>
      </c>
      <c r="G199" s="19">
        <v>3</v>
      </c>
      <c r="H199" s="19">
        <v>52</v>
      </c>
      <c r="I199" s="19">
        <v>42</v>
      </c>
      <c r="J199" s="19">
        <v>25</v>
      </c>
      <c r="K199" s="2" t="s">
        <v>347</v>
      </c>
      <c r="L199" s="2" t="s">
        <v>439</v>
      </c>
      <c r="M199" s="19">
        <v>2013</v>
      </c>
      <c r="N199" s="1" t="s">
        <v>440</v>
      </c>
      <c r="O199" s="19">
        <v>350</v>
      </c>
      <c r="P199" s="1" t="s">
        <v>18</v>
      </c>
      <c r="Q199" s="19">
        <v>3</v>
      </c>
      <c r="R199" s="19">
        <v>2</v>
      </c>
      <c r="S199" s="19">
        <v>33</v>
      </c>
      <c r="T199" s="14">
        <v>97500</v>
      </c>
      <c r="U199" s="14">
        <v>91000</v>
      </c>
      <c r="V199" s="14">
        <v>57000</v>
      </c>
      <c r="W199" s="4">
        <f t="shared" si="9"/>
        <v>-6.6666666666666666E-2</v>
      </c>
      <c r="Z199" s="11">
        <f t="shared" si="10"/>
        <v>0.62637362637362637</v>
      </c>
      <c r="AA199" s="19">
        <f t="shared" si="11"/>
        <v>34000</v>
      </c>
    </row>
    <row r="200" spans="2:27" x14ac:dyDescent="0.45">
      <c r="B200" s="7">
        <v>601</v>
      </c>
      <c r="C200" s="1" t="s">
        <v>58</v>
      </c>
      <c r="D200" s="1" t="s">
        <v>607</v>
      </c>
      <c r="E200" s="1" t="s">
        <v>610</v>
      </c>
      <c r="F200" s="1" t="s">
        <v>614</v>
      </c>
      <c r="G200" s="19">
        <v>6</v>
      </c>
      <c r="H200" s="19">
        <v>32</v>
      </c>
      <c r="I200" s="19">
        <v>38</v>
      </c>
      <c r="J200" s="19">
        <v>35</v>
      </c>
      <c r="K200" s="1" t="s">
        <v>59</v>
      </c>
      <c r="L200" s="2" t="s">
        <v>439</v>
      </c>
      <c r="M200" s="19">
        <v>2003</v>
      </c>
      <c r="N200" s="1" t="s">
        <v>434</v>
      </c>
      <c r="O200" s="19">
        <v>3544</v>
      </c>
      <c r="P200" s="1" t="s">
        <v>5</v>
      </c>
      <c r="Q200" s="19">
        <v>3</v>
      </c>
      <c r="R200" s="19">
        <v>1</v>
      </c>
      <c r="S200" s="19">
        <v>25</v>
      </c>
      <c r="T200" s="14">
        <v>92400</v>
      </c>
      <c r="U200" s="14">
        <v>92000</v>
      </c>
      <c r="V200" s="14">
        <v>50000</v>
      </c>
      <c r="W200" s="4">
        <f t="shared" si="9"/>
        <v>-4.329004329004329E-3</v>
      </c>
      <c r="Z200" s="11">
        <f t="shared" si="10"/>
        <v>0.54347826086956519</v>
      </c>
      <c r="AA200" s="19">
        <f t="shared" si="11"/>
        <v>42000</v>
      </c>
    </row>
    <row r="201" spans="2:27" x14ac:dyDescent="0.45">
      <c r="B201" s="7">
        <v>708</v>
      </c>
      <c r="C201" s="1" t="s">
        <v>52</v>
      </c>
      <c r="D201" s="1" t="s">
        <v>652</v>
      </c>
      <c r="E201" s="1" t="s">
        <v>680</v>
      </c>
      <c r="F201" s="1" t="s">
        <v>681</v>
      </c>
      <c r="G201" s="19">
        <v>5</v>
      </c>
      <c r="H201" s="19">
        <v>52</v>
      </c>
      <c r="I201" s="19">
        <v>32</v>
      </c>
      <c r="J201" s="19">
        <v>45</v>
      </c>
      <c r="K201" s="1" t="s">
        <v>53</v>
      </c>
      <c r="L201" s="2" t="s">
        <v>439</v>
      </c>
      <c r="M201" s="19">
        <v>2009</v>
      </c>
      <c r="N201" s="1" t="s">
        <v>447</v>
      </c>
      <c r="O201" s="19">
        <v>662</v>
      </c>
      <c r="P201" s="5" t="s">
        <v>18</v>
      </c>
      <c r="Q201" s="18">
        <v>3</v>
      </c>
      <c r="R201" s="19">
        <v>2</v>
      </c>
      <c r="S201" s="18">
        <v>24</v>
      </c>
      <c r="T201" s="14">
        <v>103000</v>
      </c>
      <c r="U201" s="14">
        <v>92000</v>
      </c>
      <c r="V201" s="14">
        <v>51000</v>
      </c>
      <c r="W201" s="4">
        <f t="shared" si="9"/>
        <v>-0.10679611650485436</v>
      </c>
      <c r="Z201" s="11">
        <f t="shared" si="10"/>
        <v>0.55434782608695654</v>
      </c>
      <c r="AA201" s="19">
        <f t="shared" si="11"/>
        <v>41000</v>
      </c>
    </row>
    <row r="202" spans="2:27" x14ac:dyDescent="0.45">
      <c r="B202" s="7">
        <v>2224</v>
      </c>
      <c r="C202" s="1" t="s">
        <v>226</v>
      </c>
      <c r="D202" s="1" t="s">
        <v>1150</v>
      </c>
      <c r="E202" s="1" t="s">
        <v>1174</v>
      </c>
      <c r="F202" s="1" t="s">
        <v>1175</v>
      </c>
      <c r="G202" s="19">
        <v>6</v>
      </c>
      <c r="H202" s="19">
        <v>55</v>
      </c>
      <c r="I202" s="19">
        <v>50</v>
      </c>
      <c r="J202" s="19">
        <v>30</v>
      </c>
      <c r="K202" s="2" t="s">
        <v>228</v>
      </c>
      <c r="L202" s="2" t="s">
        <v>439</v>
      </c>
      <c r="M202" s="19">
        <v>2010</v>
      </c>
      <c r="N202" s="1" t="s">
        <v>434</v>
      </c>
      <c r="O202" s="19">
        <v>1185</v>
      </c>
      <c r="P202" s="1" t="s">
        <v>18</v>
      </c>
      <c r="Q202" s="19">
        <v>3</v>
      </c>
      <c r="R202" s="19">
        <v>2</v>
      </c>
      <c r="S202" s="19">
        <v>33</v>
      </c>
      <c r="T202" s="14">
        <v>108500</v>
      </c>
      <c r="U202" s="14">
        <v>92000</v>
      </c>
      <c r="V202" s="14">
        <v>51700</v>
      </c>
      <c r="W202" s="4">
        <f t="shared" si="9"/>
        <v>-0.15207373271889402</v>
      </c>
      <c r="Z202" s="11">
        <f t="shared" si="10"/>
        <v>0.56195652173913047</v>
      </c>
      <c r="AA202" s="19">
        <f t="shared" si="11"/>
        <v>40300</v>
      </c>
    </row>
    <row r="203" spans="2:27" x14ac:dyDescent="0.45">
      <c r="B203" s="7">
        <v>729</v>
      </c>
      <c r="C203" s="5" t="s">
        <v>285</v>
      </c>
      <c r="D203" s="5" t="s">
        <v>698</v>
      </c>
      <c r="E203" s="1" t="s">
        <v>701</v>
      </c>
      <c r="F203" s="1" t="s">
        <v>702</v>
      </c>
      <c r="G203" s="19">
        <v>5</v>
      </c>
      <c r="H203" s="19">
        <v>48</v>
      </c>
      <c r="I203" s="19">
        <v>32</v>
      </c>
      <c r="J203" s="19">
        <v>44</v>
      </c>
      <c r="K203" s="5" t="s">
        <v>286</v>
      </c>
      <c r="L203" s="2" t="s">
        <v>439</v>
      </c>
      <c r="M203" s="18">
        <v>2014</v>
      </c>
      <c r="N203" s="1" t="s">
        <v>434</v>
      </c>
      <c r="O203" s="18">
        <v>1764</v>
      </c>
      <c r="P203" s="5" t="s">
        <v>18</v>
      </c>
      <c r="Q203" s="18">
        <v>3</v>
      </c>
      <c r="R203" s="18">
        <v>2</v>
      </c>
      <c r="S203" s="18">
        <v>33</v>
      </c>
      <c r="T203" s="14">
        <v>113000</v>
      </c>
      <c r="U203" s="14">
        <v>92900</v>
      </c>
      <c r="V203" s="14">
        <v>57000</v>
      </c>
      <c r="W203" s="4">
        <f t="shared" si="9"/>
        <v>-0.17787610619469027</v>
      </c>
      <c r="Z203" s="11">
        <f t="shared" si="10"/>
        <v>0.61356297093649081</v>
      </c>
      <c r="AA203" s="19">
        <f t="shared" si="11"/>
        <v>35900</v>
      </c>
    </row>
    <row r="204" spans="2:27" x14ac:dyDescent="0.45">
      <c r="B204" s="7">
        <v>712</v>
      </c>
      <c r="C204" s="1" t="s">
        <v>33</v>
      </c>
      <c r="D204" s="1" t="s">
        <v>652</v>
      </c>
      <c r="E204" s="1" t="s">
        <v>683</v>
      </c>
      <c r="F204" s="1" t="s">
        <v>684</v>
      </c>
      <c r="G204" s="19">
        <v>5</v>
      </c>
      <c r="H204" s="19">
        <v>48</v>
      </c>
      <c r="I204" s="19">
        <v>28</v>
      </c>
      <c r="J204" s="19">
        <v>41</v>
      </c>
      <c r="K204" s="1" t="s">
        <v>685</v>
      </c>
      <c r="L204" s="2" t="s">
        <v>439</v>
      </c>
      <c r="M204" s="19">
        <v>2004</v>
      </c>
      <c r="N204" s="1" t="s">
        <v>447</v>
      </c>
      <c r="O204" s="19">
        <v>600</v>
      </c>
      <c r="P204" s="5" t="s">
        <v>18</v>
      </c>
      <c r="Q204" s="18">
        <v>3</v>
      </c>
      <c r="R204" s="19">
        <v>2</v>
      </c>
      <c r="S204" s="18">
        <v>24</v>
      </c>
      <c r="T204" s="14">
        <v>83000</v>
      </c>
      <c r="U204" s="14">
        <v>93000</v>
      </c>
      <c r="V204" s="14">
        <v>58000</v>
      </c>
      <c r="W204" s="4">
        <f t="shared" si="9"/>
        <v>0.12048192771084337</v>
      </c>
      <c r="Z204" s="11">
        <f t="shared" si="10"/>
        <v>0.62365591397849462</v>
      </c>
      <c r="AA204" s="19">
        <f t="shared" si="11"/>
        <v>35000</v>
      </c>
    </row>
    <row r="205" spans="2:27" x14ac:dyDescent="0.45">
      <c r="B205" s="7">
        <v>726</v>
      </c>
      <c r="C205" s="5" t="s">
        <v>287</v>
      </c>
      <c r="D205" s="5" t="s">
        <v>698</v>
      </c>
      <c r="E205" s="1" t="s">
        <v>699</v>
      </c>
      <c r="F205" s="1" t="s">
        <v>700</v>
      </c>
      <c r="G205" s="19">
        <v>4</v>
      </c>
      <c r="H205" s="19">
        <v>45</v>
      </c>
      <c r="I205" s="19">
        <v>28</v>
      </c>
      <c r="J205" s="19">
        <v>40</v>
      </c>
      <c r="K205" s="5" t="s">
        <v>288</v>
      </c>
      <c r="L205" s="2" t="s">
        <v>453</v>
      </c>
      <c r="M205" s="18">
        <v>2016</v>
      </c>
      <c r="N205" s="1" t="s">
        <v>434</v>
      </c>
      <c r="O205" s="18">
        <v>1743</v>
      </c>
      <c r="P205" s="5" t="s">
        <v>18</v>
      </c>
      <c r="Q205" s="18">
        <v>3</v>
      </c>
      <c r="R205" s="18">
        <v>2</v>
      </c>
      <c r="S205" s="18">
        <v>24</v>
      </c>
      <c r="T205" s="14">
        <v>104000</v>
      </c>
      <c r="U205" s="14">
        <v>93000</v>
      </c>
      <c r="V205" s="14">
        <v>60000</v>
      </c>
      <c r="W205" s="4">
        <f t="shared" si="9"/>
        <v>-0.10576923076923077</v>
      </c>
      <c r="Z205" s="11">
        <f t="shared" si="10"/>
        <v>0.64516129032258063</v>
      </c>
      <c r="AA205" s="19">
        <f t="shared" si="11"/>
        <v>33000</v>
      </c>
    </row>
    <row r="206" spans="2:27" x14ac:dyDescent="0.45">
      <c r="B206" s="7">
        <v>763</v>
      </c>
      <c r="C206" s="5" t="s">
        <v>242</v>
      </c>
      <c r="D206" s="5" t="s">
        <v>711</v>
      </c>
      <c r="E206" s="1" t="s">
        <v>732</v>
      </c>
      <c r="F206" s="1" t="s">
        <v>731</v>
      </c>
      <c r="G206" s="19">
        <v>6</v>
      </c>
      <c r="H206" s="19">
        <v>56</v>
      </c>
      <c r="I206" s="19">
        <v>46</v>
      </c>
      <c r="J206" s="19">
        <v>39</v>
      </c>
      <c r="K206" s="5" t="s">
        <v>338</v>
      </c>
      <c r="L206" s="2" t="s">
        <v>453</v>
      </c>
      <c r="M206" s="18">
        <v>2016</v>
      </c>
      <c r="N206" s="1" t="s">
        <v>447</v>
      </c>
      <c r="O206" s="18">
        <v>504</v>
      </c>
      <c r="P206" s="5" t="s">
        <v>18</v>
      </c>
      <c r="Q206" s="18">
        <v>3</v>
      </c>
      <c r="R206" s="18">
        <v>2</v>
      </c>
      <c r="S206" s="18">
        <v>33</v>
      </c>
      <c r="T206" s="14">
        <v>115750</v>
      </c>
      <c r="U206" s="14">
        <v>93000</v>
      </c>
      <c r="V206" s="14">
        <v>55000</v>
      </c>
      <c r="W206" s="4">
        <f t="shared" si="9"/>
        <v>-0.19654427645788336</v>
      </c>
      <c r="Z206" s="11">
        <f t="shared" si="10"/>
        <v>0.59139784946236562</v>
      </c>
      <c r="AA206" s="19">
        <f t="shared" si="11"/>
        <v>38000</v>
      </c>
    </row>
    <row r="207" spans="2:27" x14ac:dyDescent="0.45">
      <c r="B207" s="7">
        <v>791</v>
      </c>
      <c r="C207" s="5" t="s">
        <v>394</v>
      </c>
      <c r="D207" s="5" t="s">
        <v>753</v>
      </c>
      <c r="E207" s="1" t="s">
        <v>757</v>
      </c>
      <c r="F207" s="1" t="s">
        <v>758</v>
      </c>
      <c r="G207" s="19">
        <v>3</v>
      </c>
      <c r="H207" s="19">
        <v>55</v>
      </c>
      <c r="I207" s="19">
        <v>68</v>
      </c>
      <c r="J207" s="19">
        <v>50</v>
      </c>
      <c r="K207" s="5" t="s">
        <v>399</v>
      </c>
      <c r="L207" s="2" t="s">
        <v>433</v>
      </c>
      <c r="M207" s="18">
        <v>1988</v>
      </c>
      <c r="N207" s="1" t="s">
        <v>447</v>
      </c>
      <c r="O207" s="18">
        <v>910</v>
      </c>
      <c r="P207" s="5" t="s">
        <v>18</v>
      </c>
      <c r="Q207" s="18">
        <v>3</v>
      </c>
      <c r="R207" s="18">
        <v>1</v>
      </c>
      <c r="S207" s="18">
        <v>30</v>
      </c>
      <c r="T207" s="14">
        <v>83000</v>
      </c>
      <c r="U207" s="14">
        <v>93000</v>
      </c>
      <c r="V207" s="14">
        <v>27000</v>
      </c>
      <c r="W207" s="4">
        <f t="shared" si="9"/>
        <v>0.12048192771084337</v>
      </c>
      <c r="Z207" s="11">
        <f t="shared" si="10"/>
        <v>0.29032258064516131</v>
      </c>
      <c r="AA207" s="19">
        <f t="shared" si="11"/>
        <v>66000</v>
      </c>
    </row>
    <row r="208" spans="2:27" x14ac:dyDescent="0.45">
      <c r="B208" s="7">
        <v>1620</v>
      </c>
      <c r="C208" s="1" t="s">
        <v>13</v>
      </c>
      <c r="D208" s="1" t="s">
        <v>998</v>
      </c>
      <c r="E208" s="1" t="s">
        <v>1010</v>
      </c>
      <c r="F208" s="1" t="s">
        <v>1011</v>
      </c>
      <c r="G208" s="19">
        <v>4</v>
      </c>
      <c r="H208" s="19">
        <v>45</v>
      </c>
      <c r="I208" s="19">
        <v>42</v>
      </c>
      <c r="J208" s="19">
        <v>35</v>
      </c>
      <c r="K208" s="6" t="s">
        <v>343</v>
      </c>
      <c r="L208" s="2" t="s">
        <v>439</v>
      </c>
      <c r="M208" s="19">
        <v>2007</v>
      </c>
      <c r="N208" s="1" t="s">
        <v>447</v>
      </c>
      <c r="O208" s="19">
        <v>787</v>
      </c>
      <c r="P208" s="1" t="s">
        <v>18</v>
      </c>
      <c r="Q208" s="19">
        <v>3</v>
      </c>
      <c r="R208" s="19">
        <v>2</v>
      </c>
      <c r="S208" s="19">
        <v>25</v>
      </c>
      <c r="T208" s="14">
        <v>100000</v>
      </c>
      <c r="U208" s="14">
        <v>93000</v>
      </c>
      <c r="V208" s="14">
        <v>50000</v>
      </c>
      <c r="W208" s="4">
        <f t="shared" si="9"/>
        <v>-7.0000000000000007E-2</v>
      </c>
      <c r="Z208" s="11">
        <f t="shared" si="10"/>
        <v>0.5376344086021505</v>
      </c>
      <c r="AA208" s="19">
        <f t="shared" si="11"/>
        <v>43000</v>
      </c>
    </row>
    <row r="209" spans="2:27" x14ac:dyDescent="0.45">
      <c r="B209" s="7">
        <v>1651</v>
      </c>
      <c r="C209" s="1" t="s">
        <v>13</v>
      </c>
      <c r="D209" s="1" t="s">
        <v>998</v>
      </c>
      <c r="E209" s="1" t="s">
        <v>1018</v>
      </c>
      <c r="F209" s="1" t="s">
        <v>1012</v>
      </c>
      <c r="G209" s="19">
        <v>6</v>
      </c>
      <c r="H209" s="19">
        <v>45</v>
      </c>
      <c r="I209" s="19">
        <v>42</v>
      </c>
      <c r="J209" s="19">
        <v>35</v>
      </c>
      <c r="K209" s="6" t="s">
        <v>159</v>
      </c>
      <c r="L209" s="2" t="s">
        <v>439</v>
      </c>
      <c r="M209" s="19">
        <v>2006</v>
      </c>
      <c r="N209" s="1" t="s">
        <v>434</v>
      </c>
      <c r="O209" s="19">
        <v>1372</v>
      </c>
      <c r="P209" s="1" t="s">
        <v>18</v>
      </c>
      <c r="Q209" s="19">
        <v>3</v>
      </c>
      <c r="R209" s="19">
        <v>2</v>
      </c>
      <c r="S209" s="19">
        <v>25</v>
      </c>
      <c r="T209" s="14">
        <v>89200</v>
      </c>
      <c r="U209" s="14">
        <v>93000</v>
      </c>
      <c r="V209" s="14">
        <v>48000</v>
      </c>
      <c r="W209" s="4">
        <f t="shared" si="9"/>
        <v>4.2600896860986545E-2</v>
      </c>
      <c r="Z209" s="11">
        <f t="shared" si="10"/>
        <v>0.5161290322580645</v>
      </c>
      <c r="AA209" s="19">
        <f t="shared" si="11"/>
        <v>45000</v>
      </c>
    </row>
    <row r="210" spans="2:27" x14ac:dyDescent="0.45">
      <c r="B210" s="7">
        <v>1921</v>
      </c>
      <c r="C210" s="1" t="s">
        <v>73</v>
      </c>
      <c r="D210" s="1" t="s">
        <v>1077</v>
      </c>
      <c r="E210" s="1" t="s">
        <v>1092</v>
      </c>
      <c r="F210" s="1" t="s">
        <v>991</v>
      </c>
      <c r="G210" s="19">
        <v>5</v>
      </c>
      <c r="H210" s="19">
        <v>52</v>
      </c>
      <c r="I210" s="19">
        <v>28</v>
      </c>
      <c r="J210" s="19">
        <v>38</v>
      </c>
      <c r="K210" s="1" t="s">
        <v>306</v>
      </c>
      <c r="L210" s="2" t="s">
        <v>439</v>
      </c>
      <c r="M210" s="19">
        <v>2014</v>
      </c>
      <c r="N210" s="1" t="s">
        <v>447</v>
      </c>
      <c r="O210" s="19">
        <v>930</v>
      </c>
      <c r="P210" s="1" t="s">
        <v>18</v>
      </c>
      <c r="Q210" s="19">
        <v>3</v>
      </c>
      <c r="R210" s="19">
        <v>2</v>
      </c>
      <c r="S210" s="19">
        <v>25</v>
      </c>
      <c r="T210" s="14">
        <v>98000</v>
      </c>
      <c r="U210" s="14">
        <v>93000</v>
      </c>
      <c r="V210" s="14">
        <v>50000</v>
      </c>
      <c r="W210" s="4">
        <f t="shared" si="9"/>
        <v>-5.1020408163265307E-2</v>
      </c>
      <c r="Z210" s="11">
        <f t="shared" si="10"/>
        <v>0.5376344086021505</v>
      </c>
      <c r="AA210" s="19">
        <f t="shared" si="11"/>
        <v>43000</v>
      </c>
    </row>
    <row r="211" spans="2:27" x14ac:dyDescent="0.45">
      <c r="B211" s="7">
        <v>1300</v>
      </c>
      <c r="C211" s="1" t="s">
        <v>901</v>
      </c>
      <c r="D211" s="1" t="s">
        <v>899</v>
      </c>
      <c r="E211" s="1" t="s">
        <v>915</v>
      </c>
      <c r="F211" s="1" t="s">
        <v>910</v>
      </c>
      <c r="G211" s="19">
        <v>10</v>
      </c>
      <c r="H211" s="19">
        <v>55</v>
      </c>
      <c r="I211" s="19">
        <v>40</v>
      </c>
      <c r="J211" s="19">
        <v>25</v>
      </c>
      <c r="K211" s="1" t="s">
        <v>916</v>
      </c>
      <c r="L211" s="2" t="s">
        <v>453</v>
      </c>
      <c r="M211" s="19">
        <v>2020</v>
      </c>
      <c r="N211" s="1" t="s">
        <v>440</v>
      </c>
      <c r="O211" s="19">
        <v>497</v>
      </c>
      <c r="P211" s="1" t="s">
        <v>18</v>
      </c>
      <c r="Q211" s="19">
        <v>3</v>
      </c>
      <c r="R211" s="19">
        <v>2</v>
      </c>
      <c r="S211" s="19">
        <v>33</v>
      </c>
      <c r="T211" s="14">
        <v>110000</v>
      </c>
      <c r="U211" s="14">
        <v>94000</v>
      </c>
      <c r="V211" s="14">
        <v>49000</v>
      </c>
      <c r="W211" s="4">
        <f t="shared" si="9"/>
        <v>-0.14545454545454545</v>
      </c>
      <c r="Z211" s="11">
        <f t="shared" si="10"/>
        <v>0.52127659574468088</v>
      </c>
      <c r="AA211" s="19">
        <f t="shared" si="11"/>
        <v>45000</v>
      </c>
    </row>
    <row r="212" spans="2:27" x14ac:dyDescent="0.45">
      <c r="B212" s="7">
        <v>1715</v>
      </c>
      <c r="C212" s="1" t="s">
        <v>77</v>
      </c>
      <c r="D212" s="1" t="s">
        <v>998</v>
      </c>
      <c r="E212" s="1" t="s">
        <v>1031</v>
      </c>
      <c r="F212" s="1" t="s">
        <v>1028</v>
      </c>
      <c r="G212" s="19">
        <v>5</v>
      </c>
      <c r="H212" s="19">
        <v>50</v>
      </c>
      <c r="I212" s="19">
        <v>45</v>
      </c>
      <c r="J212" s="19">
        <v>35</v>
      </c>
      <c r="K212" s="6" t="s">
        <v>78</v>
      </c>
      <c r="L212" s="2" t="s">
        <v>439</v>
      </c>
      <c r="M212" s="19">
        <v>2005</v>
      </c>
      <c r="N212" s="1" t="s">
        <v>434</v>
      </c>
      <c r="O212" s="19">
        <v>1605</v>
      </c>
      <c r="P212" s="1" t="s">
        <v>18</v>
      </c>
      <c r="Q212" s="19">
        <v>3</v>
      </c>
      <c r="R212" s="19">
        <v>2</v>
      </c>
      <c r="S212" s="19">
        <v>25</v>
      </c>
      <c r="T212" s="14">
        <v>90000</v>
      </c>
      <c r="U212" s="14">
        <v>94000</v>
      </c>
      <c r="V212" s="14">
        <v>49000</v>
      </c>
      <c r="W212" s="4">
        <f t="shared" si="9"/>
        <v>4.4444444444444446E-2</v>
      </c>
      <c r="Z212" s="11">
        <f t="shared" si="10"/>
        <v>0.52127659574468088</v>
      </c>
      <c r="AA212" s="19">
        <f t="shared" si="11"/>
        <v>45000</v>
      </c>
    </row>
    <row r="213" spans="2:27" x14ac:dyDescent="0.45">
      <c r="B213" s="7">
        <v>309</v>
      </c>
      <c r="C213" s="1" t="s">
        <v>201</v>
      </c>
      <c r="D213" s="1" t="s">
        <v>541</v>
      </c>
      <c r="E213" s="1" t="s">
        <v>550</v>
      </c>
      <c r="F213" s="1" t="s">
        <v>551</v>
      </c>
      <c r="G213" s="19">
        <v>6</v>
      </c>
      <c r="H213" s="19">
        <v>50</v>
      </c>
      <c r="I213" s="19">
        <v>54</v>
      </c>
      <c r="J213" s="19">
        <v>38</v>
      </c>
      <c r="K213" s="1" t="s">
        <v>202</v>
      </c>
      <c r="L213" s="2" t="s">
        <v>453</v>
      </c>
      <c r="M213" s="19">
        <v>2019</v>
      </c>
      <c r="N213" s="1" t="s">
        <v>434</v>
      </c>
      <c r="O213" s="19">
        <v>1028</v>
      </c>
      <c r="P213" s="5" t="s">
        <v>18</v>
      </c>
      <c r="Q213" s="18">
        <v>3</v>
      </c>
      <c r="R213" s="18">
        <v>2</v>
      </c>
      <c r="S213" s="18">
        <v>33</v>
      </c>
      <c r="T213" s="14">
        <v>113000</v>
      </c>
      <c r="U213" s="14">
        <v>95000</v>
      </c>
      <c r="V213" s="14">
        <v>60000</v>
      </c>
      <c r="W213" s="4">
        <f t="shared" si="9"/>
        <v>-0.15929203539823009</v>
      </c>
      <c r="Z213" s="11">
        <f t="shared" si="10"/>
        <v>0.63157894736842102</v>
      </c>
      <c r="AA213" s="19">
        <f t="shared" si="11"/>
        <v>35000</v>
      </c>
    </row>
    <row r="214" spans="2:27" x14ac:dyDescent="0.45">
      <c r="B214" s="7">
        <v>529</v>
      </c>
      <c r="C214" s="1" t="s">
        <v>26</v>
      </c>
      <c r="D214" s="1" t="s">
        <v>555</v>
      </c>
      <c r="E214" s="1" t="s">
        <v>596</v>
      </c>
      <c r="F214" s="1" t="s">
        <v>588</v>
      </c>
      <c r="G214" s="19">
        <v>8</v>
      </c>
      <c r="H214" s="19">
        <v>44</v>
      </c>
      <c r="I214" s="19">
        <v>18</v>
      </c>
      <c r="J214" s="19">
        <v>31</v>
      </c>
      <c r="K214" s="2" t="s">
        <v>127</v>
      </c>
      <c r="L214" s="2" t="s">
        <v>453</v>
      </c>
      <c r="M214" s="19">
        <v>2022</v>
      </c>
      <c r="N214" s="1" t="s">
        <v>440</v>
      </c>
      <c r="O214" s="19">
        <v>220</v>
      </c>
      <c r="P214" s="1" t="s">
        <v>18</v>
      </c>
      <c r="Q214" s="19">
        <v>3</v>
      </c>
      <c r="R214" s="19">
        <v>2</v>
      </c>
      <c r="S214" s="19">
        <v>23</v>
      </c>
      <c r="T214" s="14">
        <v>90900</v>
      </c>
      <c r="U214" s="14">
        <v>95000</v>
      </c>
      <c r="V214" s="14">
        <v>63000</v>
      </c>
      <c r="W214" s="4">
        <f t="shared" si="9"/>
        <v>4.5104510451045104E-2</v>
      </c>
      <c r="Z214" s="11">
        <f t="shared" si="10"/>
        <v>0.66315789473684206</v>
      </c>
      <c r="AA214" s="19">
        <f t="shared" si="11"/>
        <v>32000</v>
      </c>
    </row>
    <row r="215" spans="2:27" x14ac:dyDescent="0.45">
      <c r="B215" s="7">
        <v>559</v>
      </c>
      <c r="C215" s="1" t="s">
        <v>26</v>
      </c>
      <c r="D215" s="1" t="s">
        <v>555</v>
      </c>
      <c r="E215" s="1" t="s">
        <v>605</v>
      </c>
      <c r="F215" s="1" t="s">
        <v>602</v>
      </c>
      <c r="G215" s="19">
        <v>6</v>
      </c>
      <c r="H215" s="19">
        <v>42</v>
      </c>
      <c r="I215" s="19">
        <v>15</v>
      </c>
      <c r="J215" s="19">
        <v>28</v>
      </c>
      <c r="K215" s="2" t="s">
        <v>606</v>
      </c>
      <c r="L215" s="2" t="s">
        <v>433</v>
      </c>
      <c r="M215" s="19">
        <v>1999</v>
      </c>
      <c r="N215" s="1" t="s">
        <v>447</v>
      </c>
      <c r="O215" s="19">
        <v>642</v>
      </c>
      <c r="P215" s="1" t="s">
        <v>18</v>
      </c>
      <c r="Q215" s="19">
        <v>3</v>
      </c>
      <c r="R215" s="19">
        <v>1</v>
      </c>
      <c r="S215" s="19">
        <v>24</v>
      </c>
      <c r="T215" s="14">
        <v>92900</v>
      </c>
      <c r="U215" s="14">
        <v>95000</v>
      </c>
      <c r="V215" s="14">
        <v>53000</v>
      </c>
      <c r="W215" s="4">
        <f t="shared" si="9"/>
        <v>2.2604951560818085E-2</v>
      </c>
      <c r="Z215" s="11">
        <f t="shared" si="10"/>
        <v>0.55789473684210522</v>
      </c>
      <c r="AA215" s="19">
        <f t="shared" si="11"/>
        <v>42000</v>
      </c>
    </row>
    <row r="216" spans="2:27" x14ac:dyDescent="0.45">
      <c r="B216" s="7">
        <v>735</v>
      </c>
      <c r="C216" s="5" t="s">
        <v>242</v>
      </c>
      <c r="D216" s="5" t="s">
        <v>711</v>
      </c>
      <c r="E216" s="1" t="s">
        <v>712</v>
      </c>
      <c r="F216" s="1" t="s">
        <v>713</v>
      </c>
      <c r="G216" s="19">
        <v>5</v>
      </c>
      <c r="H216" s="19">
        <v>45</v>
      </c>
      <c r="I216" s="19">
        <v>55</v>
      </c>
      <c r="J216" s="19">
        <v>38</v>
      </c>
      <c r="K216" s="5" t="s">
        <v>410</v>
      </c>
      <c r="L216" s="2" t="s">
        <v>433</v>
      </c>
      <c r="M216" s="18">
        <v>1988</v>
      </c>
      <c r="N216" s="1" t="s">
        <v>434</v>
      </c>
      <c r="O216" s="18">
        <v>1320</v>
      </c>
      <c r="P216" s="5" t="s">
        <v>18</v>
      </c>
      <c r="Q216" s="18">
        <v>3</v>
      </c>
      <c r="R216" s="18">
        <v>1</v>
      </c>
      <c r="S216" s="18">
        <v>26</v>
      </c>
      <c r="T216" s="14">
        <v>106500</v>
      </c>
      <c r="U216" s="14">
        <v>95000</v>
      </c>
      <c r="V216" s="14">
        <v>48000</v>
      </c>
      <c r="W216" s="4">
        <f t="shared" si="9"/>
        <v>-0.107981220657277</v>
      </c>
      <c r="Z216" s="11">
        <f t="shared" si="10"/>
        <v>0.50526315789473686</v>
      </c>
      <c r="AA216" s="19">
        <f t="shared" si="11"/>
        <v>47000</v>
      </c>
    </row>
    <row r="217" spans="2:27" x14ac:dyDescent="0.45">
      <c r="B217" s="7">
        <v>797</v>
      </c>
      <c r="C217" s="5" t="s">
        <v>394</v>
      </c>
      <c r="D217" s="5" t="s">
        <v>753</v>
      </c>
      <c r="E217" s="1" t="s">
        <v>763</v>
      </c>
      <c r="F217" s="1" t="s">
        <v>758</v>
      </c>
      <c r="G217" s="19">
        <v>6</v>
      </c>
      <c r="H217" s="19">
        <v>53</v>
      </c>
      <c r="I217" s="19">
        <v>66</v>
      </c>
      <c r="J217" s="19">
        <v>48</v>
      </c>
      <c r="K217" s="5" t="s">
        <v>397</v>
      </c>
      <c r="L217" s="2" t="s">
        <v>439</v>
      </c>
      <c r="M217" s="18">
        <v>2003</v>
      </c>
      <c r="N217" s="1" t="s">
        <v>440</v>
      </c>
      <c r="O217" s="18">
        <v>205</v>
      </c>
      <c r="P217" s="5" t="s">
        <v>18</v>
      </c>
      <c r="Q217" s="18">
        <v>3</v>
      </c>
      <c r="R217" s="18">
        <v>2</v>
      </c>
      <c r="S217" s="18">
        <v>33</v>
      </c>
      <c r="T217" s="14">
        <v>100000</v>
      </c>
      <c r="U217" s="14">
        <v>95000</v>
      </c>
      <c r="V217" s="14">
        <v>55000</v>
      </c>
      <c r="W217" s="4">
        <f t="shared" si="9"/>
        <v>-0.05</v>
      </c>
      <c r="Z217" s="11">
        <f t="shared" si="10"/>
        <v>0.57894736842105265</v>
      </c>
      <c r="AA217" s="19">
        <f t="shared" si="11"/>
        <v>40000</v>
      </c>
    </row>
    <row r="218" spans="2:27" x14ac:dyDescent="0.45">
      <c r="B218" s="7">
        <v>1655</v>
      </c>
      <c r="C218" s="1" t="s">
        <v>13</v>
      </c>
      <c r="D218" s="1" t="s">
        <v>998</v>
      </c>
      <c r="E218" s="1" t="s">
        <v>1020</v>
      </c>
      <c r="F218" s="1" t="s">
        <v>1017</v>
      </c>
      <c r="G218" s="19">
        <v>7</v>
      </c>
      <c r="H218" s="19">
        <v>48</v>
      </c>
      <c r="I218" s="19">
        <v>45</v>
      </c>
      <c r="J218" s="19">
        <v>32</v>
      </c>
      <c r="K218" s="6" t="s">
        <v>149</v>
      </c>
      <c r="L218" s="2" t="s">
        <v>439</v>
      </c>
      <c r="M218" s="19">
        <v>2009</v>
      </c>
      <c r="N218" s="1" t="s">
        <v>447</v>
      </c>
      <c r="O218" s="19">
        <v>955</v>
      </c>
      <c r="P218" s="1" t="s">
        <v>18</v>
      </c>
      <c r="Q218" s="19">
        <v>3</v>
      </c>
      <c r="R218" s="19">
        <v>2</v>
      </c>
      <c r="S218" s="19">
        <v>25</v>
      </c>
      <c r="T218" s="14">
        <v>97500</v>
      </c>
      <c r="U218" s="14">
        <v>95000</v>
      </c>
      <c r="V218" s="14">
        <v>50000</v>
      </c>
      <c r="W218" s="4">
        <f t="shared" si="9"/>
        <v>-2.564102564102564E-2</v>
      </c>
      <c r="Z218" s="11">
        <f t="shared" si="10"/>
        <v>0.52631578947368418</v>
      </c>
      <c r="AA218" s="19">
        <f t="shared" si="11"/>
        <v>45000</v>
      </c>
    </row>
    <row r="219" spans="2:27" x14ac:dyDescent="0.45">
      <c r="B219" s="7">
        <v>1700</v>
      </c>
      <c r="C219" s="1" t="s">
        <v>13</v>
      </c>
      <c r="D219" s="1" t="s">
        <v>998</v>
      </c>
      <c r="E219" s="1" t="s">
        <v>1029</v>
      </c>
      <c r="F219" s="1" t="s">
        <v>1017</v>
      </c>
      <c r="G219" s="19">
        <v>5</v>
      </c>
      <c r="H219" s="19">
        <v>48</v>
      </c>
      <c r="I219" s="19">
        <v>45</v>
      </c>
      <c r="J219" s="19">
        <v>32</v>
      </c>
      <c r="K219" s="1" t="s">
        <v>81</v>
      </c>
      <c r="L219" s="2" t="s">
        <v>439</v>
      </c>
      <c r="M219" s="19">
        <v>2003</v>
      </c>
      <c r="N219" s="1" t="s">
        <v>434</v>
      </c>
      <c r="O219" s="19">
        <v>1377</v>
      </c>
      <c r="P219" s="1" t="s">
        <v>18</v>
      </c>
      <c r="Q219" s="19">
        <v>3</v>
      </c>
      <c r="R219" s="19">
        <v>2</v>
      </c>
      <c r="S219" s="19">
        <v>33</v>
      </c>
      <c r="T219" s="14">
        <v>109000</v>
      </c>
      <c r="U219" s="14">
        <v>95000</v>
      </c>
      <c r="V219" s="14">
        <v>60000</v>
      </c>
      <c r="W219" s="4">
        <f t="shared" si="9"/>
        <v>-0.12844036697247707</v>
      </c>
      <c r="Z219" s="11">
        <f t="shared" si="10"/>
        <v>0.63157894736842102</v>
      </c>
      <c r="AA219" s="19">
        <f t="shared" si="11"/>
        <v>35000</v>
      </c>
    </row>
    <row r="220" spans="2:27" x14ac:dyDescent="0.45">
      <c r="B220" s="7">
        <v>2121</v>
      </c>
      <c r="C220" s="1" t="s">
        <v>391</v>
      </c>
      <c r="D220" s="1" t="s">
        <v>1150</v>
      </c>
      <c r="E220" s="1" t="s">
        <v>1153</v>
      </c>
      <c r="F220" s="1" t="s">
        <v>1152</v>
      </c>
      <c r="G220" s="19">
        <v>4</v>
      </c>
      <c r="H220" s="19">
        <v>52</v>
      </c>
      <c r="I220" s="19">
        <v>45</v>
      </c>
      <c r="J220" s="19">
        <v>28</v>
      </c>
      <c r="K220" s="2" t="s">
        <v>1154</v>
      </c>
      <c r="L220" s="2" t="s">
        <v>439</v>
      </c>
      <c r="M220" s="19">
        <v>2009</v>
      </c>
      <c r="N220" s="1" t="s">
        <v>447</v>
      </c>
      <c r="O220" s="19">
        <v>947</v>
      </c>
      <c r="P220" s="1" t="s">
        <v>18</v>
      </c>
      <c r="Q220" s="19">
        <v>3</v>
      </c>
      <c r="R220" s="19">
        <v>2</v>
      </c>
      <c r="S220" s="19">
        <v>24</v>
      </c>
      <c r="T220" s="14">
        <v>97000</v>
      </c>
      <c r="U220" s="14">
        <v>95000</v>
      </c>
      <c r="V220" s="14">
        <v>52000</v>
      </c>
      <c r="W220" s="4">
        <f t="shared" si="9"/>
        <v>-2.0618556701030927E-2</v>
      </c>
      <c r="Z220" s="11">
        <f t="shared" si="10"/>
        <v>0.54736842105263162</v>
      </c>
      <c r="AA220" s="19">
        <f t="shared" si="11"/>
        <v>43000</v>
      </c>
    </row>
    <row r="221" spans="2:27" x14ac:dyDescent="0.45">
      <c r="B221" s="7">
        <v>2168</v>
      </c>
      <c r="C221" s="1" t="s">
        <v>92</v>
      </c>
      <c r="D221" s="1" t="s">
        <v>1150</v>
      </c>
      <c r="E221" s="1" t="s">
        <v>1159</v>
      </c>
      <c r="F221" s="1" t="s">
        <v>1160</v>
      </c>
      <c r="G221" s="19">
        <v>5</v>
      </c>
      <c r="H221" s="19">
        <v>50</v>
      </c>
      <c r="I221" s="19">
        <v>40</v>
      </c>
      <c r="J221" s="19">
        <v>22</v>
      </c>
      <c r="K221" s="2" t="s">
        <v>346</v>
      </c>
      <c r="L221" s="2" t="s">
        <v>453</v>
      </c>
      <c r="M221" s="19">
        <v>2020</v>
      </c>
      <c r="N221" s="1" t="s">
        <v>434</v>
      </c>
      <c r="O221" s="19">
        <v>2569</v>
      </c>
      <c r="P221" s="1" t="s">
        <v>18</v>
      </c>
      <c r="Q221" s="19">
        <v>2</v>
      </c>
      <c r="R221" s="19">
        <v>1</v>
      </c>
      <c r="S221" s="19">
        <v>20</v>
      </c>
      <c r="T221" s="14">
        <v>89000</v>
      </c>
      <c r="U221" s="14">
        <v>95000</v>
      </c>
      <c r="V221" s="14">
        <v>51000</v>
      </c>
      <c r="W221" s="4">
        <f t="shared" si="9"/>
        <v>6.741573033707865E-2</v>
      </c>
      <c r="Z221" s="11">
        <f t="shared" si="10"/>
        <v>0.5368421052631579</v>
      </c>
      <c r="AA221" s="19">
        <f t="shared" si="11"/>
        <v>44000</v>
      </c>
    </row>
    <row r="222" spans="2:27" x14ac:dyDescent="0.45">
      <c r="B222" s="7">
        <v>2190</v>
      </c>
      <c r="C222" s="1" t="s">
        <v>1166</v>
      </c>
      <c r="D222" s="1" t="s">
        <v>1150</v>
      </c>
      <c r="E222" s="1" t="s">
        <v>1167</v>
      </c>
      <c r="F222" s="1" t="s">
        <v>1161</v>
      </c>
      <c r="G222" s="19">
        <v>8</v>
      </c>
      <c r="H222" s="19">
        <v>55</v>
      </c>
      <c r="I222" s="19">
        <v>35</v>
      </c>
      <c r="J222" s="19">
        <v>35</v>
      </c>
      <c r="K222" s="2" t="s">
        <v>304</v>
      </c>
      <c r="L222" s="2" t="s">
        <v>453</v>
      </c>
      <c r="M222" s="19">
        <v>2019</v>
      </c>
      <c r="N222" s="1" t="s">
        <v>440</v>
      </c>
      <c r="O222" s="19">
        <v>380</v>
      </c>
      <c r="P222" s="1" t="s">
        <v>18</v>
      </c>
      <c r="Q222" s="19">
        <v>3</v>
      </c>
      <c r="R222" s="19">
        <v>2</v>
      </c>
      <c r="S222" s="19">
        <v>34</v>
      </c>
      <c r="T222" s="14">
        <v>96000</v>
      </c>
      <c r="U222" s="14">
        <v>95000</v>
      </c>
      <c r="V222" s="14">
        <v>58000</v>
      </c>
      <c r="W222" s="4">
        <f t="shared" si="9"/>
        <v>-1.0416666666666666E-2</v>
      </c>
      <c r="Z222" s="11">
        <f t="shared" si="10"/>
        <v>0.61052631578947369</v>
      </c>
      <c r="AA222" s="19">
        <f t="shared" si="11"/>
        <v>37000</v>
      </c>
    </row>
    <row r="223" spans="2:27" x14ac:dyDescent="0.45">
      <c r="B223" s="7">
        <v>2259</v>
      </c>
      <c r="C223" s="1" t="s">
        <v>1181</v>
      </c>
      <c r="D223" s="1" t="s">
        <v>1182</v>
      </c>
      <c r="E223" s="1" t="s">
        <v>1184</v>
      </c>
      <c r="F223" s="1" t="s">
        <v>1183</v>
      </c>
      <c r="G223" s="19">
        <v>5</v>
      </c>
      <c r="H223" s="19">
        <v>45</v>
      </c>
      <c r="I223" s="19">
        <v>40</v>
      </c>
      <c r="J223" s="19">
        <v>20</v>
      </c>
      <c r="K223" s="1" t="s">
        <v>400</v>
      </c>
      <c r="L223" s="2" t="s">
        <v>433</v>
      </c>
      <c r="M223" s="19">
        <v>1992</v>
      </c>
      <c r="N223" s="1" t="s">
        <v>447</v>
      </c>
      <c r="O223" s="19">
        <v>585</v>
      </c>
      <c r="P223" s="1" t="s">
        <v>5</v>
      </c>
      <c r="Q223" s="19">
        <v>3</v>
      </c>
      <c r="R223" s="19">
        <v>1</v>
      </c>
      <c r="S223" s="19">
        <v>33</v>
      </c>
      <c r="T223" s="14">
        <v>0</v>
      </c>
      <c r="U223" s="14">
        <v>95000</v>
      </c>
      <c r="V223" s="14">
        <v>48000</v>
      </c>
      <c r="W223" s="4" t="e">
        <f t="shared" si="9"/>
        <v>#DIV/0!</v>
      </c>
      <c r="Z223" s="11">
        <f t="shared" si="10"/>
        <v>0.50526315789473686</v>
      </c>
      <c r="AA223" s="19">
        <f t="shared" si="11"/>
        <v>47000</v>
      </c>
    </row>
    <row r="224" spans="2:27" x14ac:dyDescent="0.45">
      <c r="B224" s="7">
        <v>2268</v>
      </c>
      <c r="C224" s="1" t="s">
        <v>380</v>
      </c>
      <c r="D224" s="1" t="s">
        <v>1182</v>
      </c>
      <c r="E224" s="1" t="s">
        <v>1187</v>
      </c>
      <c r="F224" s="1" t="s">
        <v>1188</v>
      </c>
      <c r="G224" s="19">
        <v>7</v>
      </c>
      <c r="H224" s="19">
        <v>45</v>
      </c>
      <c r="I224" s="19">
        <v>40</v>
      </c>
      <c r="J224" s="19">
        <v>22</v>
      </c>
      <c r="K224" s="1" t="s">
        <v>381</v>
      </c>
      <c r="L224" s="2" t="s">
        <v>439</v>
      </c>
      <c r="M224" s="19">
        <v>2008</v>
      </c>
      <c r="N224" s="1" t="s">
        <v>440</v>
      </c>
      <c r="O224" s="19">
        <v>416</v>
      </c>
      <c r="P224" s="1" t="s">
        <v>18</v>
      </c>
      <c r="Q224" s="19">
        <v>3</v>
      </c>
      <c r="R224" s="19">
        <v>2</v>
      </c>
      <c r="S224" s="19">
        <v>25</v>
      </c>
      <c r="T224" s="14">
        <v>98000</v>
      </c>
      <c r="U224" s="14">
        <v>95000</v>
      </c>
      <c r="V224" s="14">
        <v>52000</v>
      </c>
      <c r="W224" s="4">
        <f t="shared" si="9"/>
        <v>-3.0612244897959183E-2</v>
      </c>
      <c r="Z224" s="11">
        <f t="shared" si="10"/>
        <v>0.54736842105263162</v>
      </c>
      <c r="AA224" s="19">
        <f t="shared" si="11"/>
        <v>43000</v>
      </c>
    </row>
    <row r="225" spans="2:27" x14ac:dyDescent="0.45">
      <c r="B225" s="7">
        <v>2128</v>
      </c>
      <c r="C225" s="1" t="s">
        <v>391</v>
      </c>
      <c r="D225" s="1" t="s">
        <v>1150</v>
      </c>
      <c r="E225" s="1" t="s">
        <v>1155</v>
      </c>
      <c r="F225" s="1" t="s">
        <v>1152</v>
      </c>
      <c r="G225" s="19">
        <v>12</v>
      </c>
      <c r="H225" s="19">
        <v>56</v>
      </c>
      <c r="I225" s="19">
        <v>46</v>
      </c>
      <c r="J225" s="19">
        <v>32</v>
      </c>
      <c r="K225" s="2" t="s">
        <v>392</v>
      </c>
      <c r="L225" s="2" t="s">
        <v>439</v>
      </c>
      <c r="M225" s="19">
        <v>2010</v>
      </c>
      <c r="N225" s="1" t="s">
        <v>440</v>
      </c>
      <c r="O225" s="19">
        <v>486</v>
      </c>
      <c r="P225" s="1" t="s">
        <v>18</v>
      </c>
      <c r="Q225" s="19">
        <v>3</v>
      </c>
      <c r="R225" s="19">
        <v>2</v>
      </c>
      <c r="S225" s="19">
        <v>31</v>
      </c>
      <c r="T225" s="14">
        <v>104000</v>
      </c>
      <c r="U225" s="14">
        <v>96000</v>
      </c>
      <c r="V225" s="14">
        <v>57000</v>
      </c>
      <c r="W225" s="4">
        <f t="shared" si="9"/>
        <v>-7.6923076923076927E-2</v>
      </c>
      <c r="Z225" s="11">
        <f t="shared" si="10"/>
        <v>0.59375</v>
      </c>
      <c r="AA225" s="19">
        <f t="shared" si="11"/>
        <v>39000</v>
      </c>
    </row>
    <row r="226" spans="2:27" x14ac:dyDescent="0.45">
      <c r="B226" s="7">
        <v>2160</v>
      </c>
      <c r="C226" s="1" t="s">
        <v>226</v>
      </c>
      <c r="D226" s="1" t="s">
        <v>1150</v>
      </c>
      <c r="E226" s="1" t="s">
        <v>1163</v>
      </c>
      <c r="F226" s="1" t="s">
        <v>1158</v>
      </c>
      <c r="G226" s="19">
        <v>8</v>
      </c>
      <c r="H226" s="19">
        <v>55</v>
      </c>
      <c r="I226" s="19">
        <v>40</v>
      </c>
      <c r="J226" s="19">
        <v>30</v>
      </c>
      <c r="K226" s="2" t="s">
        <v>349</v>
      </c>
      <c r="L226" s="2" t="s">
        <v>453</v>
      </c>
      <c r="M226" s="19">
        <v>2021</v>
      </c>
      <c r="N226" s="1" t="s">
        <v>447</v>
      </c>
      <c r="O226" s="19">
        <v>678</v>
      </c>
      <c r="P226" s="1" t="s">
        <v>18</v>
      </c>
      <c r="Q226" s="19">
        <v>3</v>
      </c>
      <c r="R226" s="19">
        <v>2</v>
      </c>
      <c r="S226" s="19">
        <v>33</v>
      </c>
      <c r="T226" s="14">
        <v>116000</v>
      </c>
      <c r="U226" s="14">
        <v>96000</v>
      </c>
      <c r="V226" s="14">
        <v>58000</v>
      </c>
      <c r="W226" s="4">
        <f t="shared" si="9"/>
        <v>-0.17241379310344829</v>
      </c>
      <c r="Z226" s="11">
        <f t="shared" si="10"/>
        <v>0.60416666666666663</v>
      </c>
      <c r="AA226" s="19">
        <f t="shared" si="11"/>
        <v>38000</v>
      </c>
    </row>
    <row r="227" spans="2:27" x14ac:dyDescent="0.45">
      <c r="B227" s="7">
        <v>2319</v>
      </c>
      <c r="C227" s="5" t="s">
        <v>178</v>
      </c>
      <c r="D227" s="5" t="s">
        <v>1204</v>
      </c>
      <c r="E227" s="1" t="s">
        <v>1218</v>
      </c>
      <c r="F227" s="1" t="s">
        <v>1219</v>
      </c>
      <c r="G227" s="19">
        <v>7</v>
      </c>
      <c r="H227" s="19">
        <v>40</v>
      </c>
      <c r="I227" s="19">
        <v>55</v>
      </c>
      <c r="J227" s="19">
        <v>45</v>
      </c>
      <c r="K227" s="5" t="s">
        <v>184</v>
      </c>
      <c r="L227" s="2" t="s">
        <v>453</v>
      </c>
      <c r="M227" s="18">
        <v>2019</v>
      </c>
      <c r="N227" s="1" t="s">
        <v>440</v>
      </c>
      <c r="O227" s="18">
        <v>497</v>
      </c>
      <c r="P227" s="5" t="s">
        <v>18</v>
      </c>
      <c r="Q227" s="18">
        <v>3</v>
      </c>
      <c r="R227" s="18">
        <v>2</v>
      </c>
      <c r="S227" s="18">
        <v>24</v>
      </c>
      <c r="T227" s="14">
        <v>82500</v>
      </c>
      <c r="U227" s="14">
        <v>96000</v>
      </c>
      <c r="V227" s="14">
        <v>60000</v>
      </c>
      <c r="W227" s="4">
        <f t="shared" si="9"/>
        <v>0.16363636363636364</v>
      </c>
      <c r="Z227" s="11">
        <f t="shared" si="10"/>
        <v>0.625</v>
      </c>
      <c r="AA227" s="19">
        <f t="shared" si="11"/>
        <v>36000</v>
      </c>
    </row>
    <row r="228" spans="2:27" x14ac:dyDescent="0.45">
      <c r="B228" s="7">
        <v>307</v>
      </c>
      <c r="C228" s="5" t="s">
        <v>201</v>
      </c>
      <c r="D228" s="1" t="s">
        <v>541</v>
      </c>
      <c r="E228" s="1" t="s">
        <v>549</v>
      </c>
      <c r="F228" s="1" t="s">
        <v>546</v>
      </c>
      <c r="G228" s="19">
        <v>7</v>
      </c>
      <c r="H228" s="19">
        <v>48</v>
      </c>
      <c r="I228" s="19">
        <v>52</v>
      </c>
      <c r="J228" s="19">
        <v>36</v>
      </c>
      <c r="K228" s="5" t="s">
        <v>203</v>
      </c>
      <c r="L228" s="2" t="s">
        <v>439</v>
      </c>
      <c r="M228" s="18">
        <v>2010</v>
      </c>
      <c r="N228" s="1" t="s">
        <v>434</v>
      </c>
      <c r="O228" s="18">
        <v>1247</v>
      </c>
      <c r="P228" s="5" t="s">
        <v>18</v>
      </c>
      <c r="Q228" s="18">
        <v>3</v>
      </c>
      <c r="R228" s="18">
        <v>2</v>
      </c>
      <c r="S228" s="18">
        <v>33</v>
      </c>
      <c r="T228" s="14">
        <v>108500</v>
      </c>
      <c r="U228" s="14">
        <v>97000</v>
      </c>
      <c r="V228" s="14">
        <v>61000</v>
      </c>
      <c r="W228" s="4">
        <f t="shared" si="9"/>
        <v>-0.10599078341013825</v>
      </c>
      <c r="Z228" s="11">
        <f t="shared" si="10"/>
        <v>0.62886597938144329</v>
      </c>
      <c r="AA228" s="19">
        <f t="shared" si="11"/>
        <v>36000</v>
      </c>
    </row>
    <row r="229" spans="2:27" x14ac:dyDescent="0.45">
      <c r="B229" s="7">
        <v>758</v>
      </c>
      <c r="C229" s="5" t="s">
        <v>242</v>
      </c>
      <c r="D229" s="5" t="s">
        <v>711</v>
      </c>
      <c r="E229" s="1" t="s">
        <v>732</v>
      </c>
      <c r="F229" s="1" t="s">
        <v>731</v>
      </c>
      <c r="G229" s="19">
        <v>8</v>
      </c>
      <c r="H229" s="19">
        <v>56</v>
      </c>
      <c r="I229" s="19">
        <v>46</v>
      </c>
      <c r="J229" s="19">
        <v>39</v>
      </c>
      <c r="K229" s="5" t="s">
        <v>340</v>
      </c>
      <c r="L229" s="2" t="s">
        <v>453</v>
      </c>
      <c r="M229" s="18">
        <v>2020</v>
      </c>
      <c r="N229" s="1" t="s">
        <v>447</v>
      </c>
      <c r="O229" s="18">
        <v>859</v>
      </c>
      <c r="P229" s="5" t="s">
        <v>18</v>
      </c>
      <c r="Q229" s="18">
        <v>3</v>
      </c>
      <c r="R229" s="18">
        <v>2</v>
      </c>
      <c r="S229" s="18">
        <v>24</v>
      </c>
      <c r="T229" s="14">
        <v>101000</v>
      </c>
      <c r="U229" s="14">
        <v>97000</v>
      </c>
      <c r="V229" s="14">
        <v>59000</v>
      </c>
      <c r="W229" s="4">
        <f t="shared" si="9"/>
        <v>-3.9603960396039604E-2</v>
      </c>
      <c r="Z229" s="11">
        <f t="shared" si="10"/>
        <v>0.60824742268041232</v>
      </c>
      <c r="AA229" s="19">
        <f t="shared" si="11"/>
        <v>38000</v>
      </c>
    </row>
    <row r="230" spans="2:27" x14ac:dyDescent="0.45">
      <c r="B230" s="7">
        <v>2320</v>
      </c>
      <c r="C230" s="5" t="s">
        <v>178</v>
      </c>
      <c r="D230" s="5" t="s">
        <v>1204</v>
      </c>
      <c r="E230" s="1" t="s">
        <v>1218</v>
      </c>
      <c r="F230" s="1" t="s">
        <v>1219</v>
      </c>
      <c r="G230" s="19">
        <v>7</v>
      </c>
      <c r="H230" s="19">
        <v>40</v>
      </c>
      <c r="I230" s="19">
        <v>55</v>
      </c>
      <c r="J230" s="19">
        <v>45</v>
      </c>
      <c r="K230" s="5" t="s">
        <v>184</v>
      </c>
      <c r="L230" s="2" t="s">
        <v>453</v>
      </c>
      <c r="M230" s="18">
        <v>2019</v>
      </c>
      <c r="N230" s="1" t="s">
        <v>440</v>
      </c>
      <c r="O230" s="18">
        <v>497</v>
      </c>
      <c r="P230" s="5" t="s">
        <v>18</v>
      </c>
      <c r="Q230" s="18">
        <v>3</v>
      </c>
      <c r="R230" s="18">
        <v>2</v>
      </c>
      <c r="S230" s="18">
        <v>29</v>
      </c>
      <c r="T230" s="14">
        <v>99000</v>
      </c>
      <c r="U230" s="14">
        <v>97000</v>
      </c>
      <c r="V230" s="14">
        <v>65000</v>
      </c>
      <c r="W230" s="4">
        <f t="shared" si="9"/>
        <v>-2.0202020202020204E-2</v>
      </c>
      <c r="Z230" s="11">
        <f t="shared" si="10"/>
        <v>0.67010309278350511</v>
      </c>
      <c r="AA230" s="19">
        <f t="shared" si="11"/>
        <v>32000</v>
      </c>
    </row>
    <row r="231" spans="2:27" x14ac:dyDescent="0.45">
      <c r="B231" s="7">
        <v>1857</v>
      </c>
      <c r="C231" s="1" t="s">
        <v>1037</v>
      </c>
      <c r="D231" s="1" t="s">
        <v>1032</v>
      </c>
      <c r="E231" s="1" t="s">
        <v>1072</v>
      </c>
      <c r="F231" s="1" t="s">
        <v>1071</v>
      </c>
      <c r="G231" s="19">
        <v>6</v>
      </c>
      <c r="H231" s="19">
        <v>40</v>
      </c>
      <c r="I231" s="19">
        <v>55</v>
      </c>
      <c r="J231" s="19">
        <v>55</v>
      </c>
      <c r="K231" s="2" t="s">
        <v>43</v>
      </c>
      <c r="L231" s="2" t="s">
        <v>433</v>
      </c>
      <c r="M231" s="19">
        <v>1999</v>
      </c>
      <c r="N231" s="1" t="s">
        <v>440</v>
      </c>
      <c r="O231" s="19">
        <v>257</v>
      </c>
      <c r="P231" s="1" t="s">
        <v>18</v>
      </c>
      <c r="Q231" s="19">
        <v>3</v>
      </c>
      <c r="R231" s="19">
        <v>2</v>
      </c>
      <c r="S231" s="19">
        <v>33</v>
      </c>
      <c r="T231" s="14">
        <v>95000</v>
      </c>
      <c r="U231" s="14">
        <v>97800</v>
      </c>
      <c r="V231" s="14">
        <v>53000</v>
      </c>
      <c r="W231" s="4">
        <f t="shared" si="9"/>
        <v>2.9473684210526315E-2</v>
      </c>
      <c r="Z231" s="11">
        <f t="shared" si="10"/>
        <v>0.54192229038854811</v>
      </c>
      <c r="AA231" s="19">
        <f t="shared" si="11"/>
        <v>44800</v>
      </c>
    </row>
    <row r="232" spans="2:27" x14ac:dyDescent="0.45">
      <c r="B232" s="7">
        <v>404</v>
      </c>
      <c r="C232" s="1" t="s">
        <v>554</v>
      </c>
      <c r="D232" s="1" t="s">
        <v>555</v>
      </c>
      <c r="E232" s="1" t="s">
        <v>570</v>
      </c>
      <c r="F232" s="1" t="s">
        <v>571</v>
      </c>
      <c r="G232" s="19">
        <v>5</v>
      </c>
      <c r="H232" s="19">
        <v>55</v>
      </c>
      <c r="I232" s="19">
        <v>28</v>
      </c>
      <c r="J232" s="19">
        <v>42</v>
      </c>
      <c r="K232" s="2" t="s">
        <v>218</v>
      </c>
      <c r="L232" s="2" t="s">
        <v>453</v>
      </c>
      <c r="M232" s="19">
        <v>2020</v>
      </c>
      <c r="N232" s="1" t="s">
        <v>440</v>
      </c>
      <c r="O232" s="19">
        <v>298</v>
      </c>
      <c r="P232" s="1" t="s">
        <v>18</v>
      </c>
      <c r="Q232" s="19">
        <v>3</v>
      </c>
      <c r="R232" s="19">
        <v>2</v>
      </c>
      <c r="S232" s="19">
        <v>29</v>
      </c>
      <c r="T232" s="14">
        <v>0</v>
      </c>
      <c r="U232" s="14">
        <v>98000</v>
      </c>
      <c r="V232" s="14">
        <v>60000</v>
      </c>
      <c r="W232" s="4" t="e">
        <f t="shared" si="9"/>
        <v>#DIV/0!</v>
      </c>
      <c r="Z232" s="11">
        <f t="shared" si="10"/>
        <v>0.61224489795918369</v>
      </c>
      <c r="AA232" s="19">
        <f t="shared" si="11"/>
        <v>38000</v>
      </c>
    </row>
    <row r="233" spans="2:27" x14ac:dyDescent="0.45">
      <c r="B233" s="7">
        <v>405</v>
      </c>
      <c r="C233" s="1" t="s">
        <v>554</v>
      </c>
      <c r="D233" s="1" t="s">
        <v>555</v>
      </c>
      <c r="E233" s="1" t="s">
        <v>570</v>
      </c>
      <c r="F233" s="1" t="s">
        <v>571</v>
      </c>
      <c r="G233" s="19">
        <v>5</v>
      </c>
      <c r="H233" s="19">
        <v>55</v>
      </c>
      <c r="I233" s="19">
        <v>28</v>
      </c>
      <c r="J233" s="19">
        <v>42</v>
      </c>
      <c r="K233" s="2" t="s">
        <v>218</v>
      </c>
      <c r="L233" s="2" t="s">
        <v>453</v>
      </c>
      <c r="M233" s="19">
        <v>2020</v>
      </c>
      <c r="N233" s="1" t="s">
        <v>440</v>
      </c>
      <c r="O233" s="19">
        <v>298</v>
      </c>
      <c r="P233" s="1" t="s">
        <v>18</v>
      </c>
      <c r="Q233" s="19">
        <v>3</v>
      </c>
      <c r="R233" s="19">
        <v>2</v>
      </c>
      <c r="S233" s="19">
        <v>35</v>
      </c>
      <c r="T233" s="14">
        <v>0</v>
      </c>
      <c r="U233" s="14">
        <v>98000</v>
      </c>
      <c r="V233" s="14">
        <v>80000</v>
      </c>
      <c r="W233" s="4" t="e">
        <f t="shared" si="9"/>
        <v>#DIV/0!</v>
      </c>
      <c r="Z233" s="11">
        <f t="shared" si="10"/>
        <v>0.81632653061224492</v>
      </c>
      <c r="AA233" s="19">
        <f t="shared" si="11"/>
        <v>18000</v>
      </c>
    </row>
    <row r="234" spans="2:27" x14ac:dyDescent="0.45">
      <c r="B234" s="7">
        <v>801</v>
      </c>
      <c r="C234" s="5" t="s">
        <v>394</v>
      </c>
      <c r="D234" s="5" t="s">
        <v>753</v>
      </c>
      <c r="E234" s="1" t="s">
        <v>766</v>
      </c>
      <c r="F234" s="1" t="s">
        <v>767</v>
      </c>
      <c r="G234" s="19">
        <v>3</v>
      </c>
      <c r="H234" s="19">
        <v>47</v>
      </c>
      <c r="I234" s="19">
        <v>59</v>
      </c>
      <c r="J234" s="19">
        <v>42</v>
      </c>
      <c r="K234" s="5" t="s">
        <v>395</v>
      </c>
      <c r="L234" s="2" t="s">
        <v>433</v>
      </c>
      <c r="M234" s="18">
        <v>1997</v>
      </c>
      <c r="N234" s="1" t="s">
        <v>434</v>
      </c>
      <c r="O234" s="18">
        <v>1981</v>
      </c>
      <c r="P234" s="5" t="s">
        <v>18</v>
      </c>
      <c r="Q234" s="18">
        <v>3</v>
      </c>
      <c r="R234" s="18">
        <v>2</v>
      </c>
      <c r="S234" s="18">
        <v>33</v>
      </c>
      <c r="T234" s="14">
        <v>119900</v>
      </c>
      <c r="U234" s="14">
        <v>98000</v>
      </c>
      <c r="V234" s="14">
        <v>50000</v>
      </c>
      <c r="W234" s="4">
        <f t="shared" si="9"/>
        <v>-0.18265221017514596</v>
      </c>
      <c r="Z234" s="11">
        <f t="shared" si="10"/>
        <v>0.51020408163265307</v>
      </c>
      <c r="AA234" s="19">
        <f t="shared" si="11"/>
        <v>48000</v>
      </c>
    </row>
    <row r="235" spans="2:27" x14ac:dyDescent="0.45">
      <c r="B235" s="7">
        <v>1638</v>
      </c>
      <c r="C235" s="1" t="s">
        <v>77</v>
      </c>
      <c r="D235" s="1" t="s">
        <v>998</v>
      </c>
      <c r="E235" s="1" t="s">
        <v>1014</v>
      </c>
      <c r="F235" s="1" t="s">
        <v>1015</v>
      </c>
      <c r="G235" s="19">
        <v>8</v>
      </c>
      <c r="H235" s="19">
        <v>42</v>
      </c>
      <c r="I235" s="19">
        <v>35</v>
      </c>
      <c r="J235" s="19">
        <v>20</v>
      </c>
      <c r="K235" s="6" t="s">
        <v>223</v>
      </c>
      <c r="L235" s="2" t="s">
        <v>453</v>
      </c>
      <c r="M235" s="19">
        <v>2017</v>
      </c>
      <c r="N235" s="1" t="s">
        <v>434</v>
      </c>
      <c r="O235" s="19">
        <v>1186</v>
      </c>
      <c r="P235" s="1" t="s">
        <v>18</v>
      </c>
      <c r="Q235" s="19">
        <v>2</v>
      </c>
      <c r="R235" s="19">
        <v>1</v>
      </c>
      <c r="S235" s="19">
        <v>20</v>
      </c>
      <c r="T235" s="14">
        <v>90000</v>
      </c>
      <c r="U235" s="14">
        <v>98000</v>
      </c>
      <c r="V235" s="14">
        <v>51000</v>
      </c>
      <c r="W235" s="4">
        <f t="shared" si="9"/>
        <v>8.8888888888888892E-2</v>
      </c>
      <c r="Z235" s="11">
        <f t="shared" si="10"/>
        <v>0.52040816326530615</v>
      </c>
      <c r="AA235" s="19">
        <f t="shared" si="11"/>
        <v>47000</v>
      </c>
    </row>
    <row r="236" spans="2:27" x14ac:dyDescent="0.45">
      <c r="B236" s="7">
        <v>2161</v>
      </c>
      <c r="C236" s="1" t="s">
        <v>226</v>
      </c>
      <c r="D236" s="1" t="s">
        <v>1150</v>
      </c>
      <c r="E236" s="1" t="s">
        <v>1164</v>
      </c>
      <c r="F236" s="1" t="s">
        <v>1161</v>
      </c>
      <c r="G236" s="19">
        <v>7</v>
      </c>
      <c r="H236" s="19">
        <v>55</v>
      </c>
      <c r="I236" s="19">
        <v>35</v>
      </c>
      <c r="J236" s="19">
        <v>32</v>
      </c>
      <c r="K236" s="2" t="s">
        <v>348</v>
      </c>
      <c r="L236" s="2" t="s">
        <v>453</v>
      </c>
      <c r="M236" s="19">
        <v>2020</v>
      </c>
      <c r="N236" s="1" t="s">
        <v>434</v>
      </c>
      <c r="O236" s="19">
        <v>1305</v>
      </c>
      <c r="P236" s="1" t="s">
        <v>18</v>
      </c>
      <c r="Q236" s="19">
        <v>3</v>
      </c>
      <c r="R236" s="19">
        <v>2</v>
      </c>
      <c r="S236" s="19">
        <v>25</v>
      </c>
      <c r="T236" s="14">
        <v>98000</v>
      </c>
      <c r="U236" s="14">
        <v>99000</v>
      </c>
      <c r="V236" s="14">
        <v>58000</v>
      </c>
      <c r="W236" s="4">
        <f t="shared" si="9"/>
        <v>1.020408163265306E-2</v>
      </c>
      <c r="Z236" s="11">
        <f t="shared" si="10"/>
        <v>0.58585858585858586</v>
      </c>
      <c r="AA236" s="19">
        <f t="shared" si="11"/>
        <v>41000</v>
      </c>
    </row>
    <row r="237" spans="2:27" x14ac:dyDescent="0.45">
      <c r="B237" s="7">
        <v>2236</v>
      </c>
      <c r="C237" s="1" t="s">
        <v>226</v>
      </c>
      <c r="D237" s="1" t="s">
        <v>1150</v>
      </c>
      <c r="E237" s="1" t="s">
        <v>1177</v>
      </c>
      <c r="F237" s="1" t="s">
        <v>1175</v>
      </c>
      <c r="G237" s="19">
        <v>3</v>
      </c>
      <c r="H237" s="19">
        <v>52</v>
      </c>
      <c r="I237" s="19">
        <v>48</v>
      </c>
      <c r="J237" s="19">
        <v>28</v>
      </c>
      <c r="K237" s="2" t="s">
        <v>1178</v>
      </c>
      <c r="L237" s="2" t="s">
        <v>453</v>
      </c>
      <c r="M237" s="19">
        <v>2018</v>
      </c>
      <c r="N237" s="1" t="s">
        <v>447</v>
      </c>
      <c r="O237" s="19">
        <v>588</v>
      </c>
      <c r="P237" s="1" t="s">
        <v>18</v>
      </c>
      <c r="Q237" s="19">
        <v>3</v>
      </c>
      <c r="R237" s="19">
        <v>2</v>
      </c>
      <c r="S237" s="19">
        <v>24</v>
      </c>
      <c r="T237" s="14">
        <v>97000</v>
      </c>
      <c r="U237" s="14">
        <v>99000</v>
      </c>
      <c r="V237" s="14">
        <v>53000</v>
      </c>
      <c r="W237" s="4">
        <f t="shared" si="9"/>
        <v>2.0618556701030927E-2</v>
      </c>
      <c r="Z237" s="11">
        <f t="shared" si="10"/>
        <v>0.53535353535353536</v>
      </c>
      <c r="AA237" s="19">
        <f t="shared" si="11"/>
        <v>46000</v>
      </c>
    </row>
    <row r="238" spans="2:27" x14ac:dyDescent="0.45">
      <c r="B238" s="7">
        <v>1697</v>
      </c>
      <c r="C238" s="1" t="s">
        <v>77</v>
      </c>
      <c r="D238" s="1" t="s">
        <v>998</v>
      </c>
      <c r="E238" s="1" t="s">
        <v>1027</v>
      </c>
      <c r="F238" s="1" t="s">
        <v>1001</v>
      </c>
      <c r="G238" s="19">
        <v>6</v>
      </c>
      <c r="H238" s="19">
        <v>45</v>
      </c>
      <c r="I238" s="19">
        <v>42</v>
      </c>
      <c r="J238" s="19">
        <v>30</v>
      </c>
      <c r="K238" s="6" t="s">
        <v>82</v>
      </c>
      <c r="L238" s="2" t="s">
        <v>453</v>
      </c>
      <c r="M238" s="19">
        <v>2016</v>
      </c>
      <c r="N238" s="1" t="s">
        <v>440</v>
      </c>
      <c r="O238" s="19">
        <v>490</v>
      </c>
      <c r="P238" s="1" t="s">
        <v>18</v>
      </c>
      <c r="Q238" s="19">
        <v>3</v>
      </c>
      <c r="R238" s="19">
        <v>2</v>
      </c>
      <c r="S238" s="19">
        <v>25</v>
      </c>
      <c r="T238" s="14">
        <v>94000</v>
      </c>
      <c r="U238" s="14">
        <v>99500</v>
      </c>
      <c r="V238" s="14">
        <v>55000</v>
      </c>
      <c r="W238" s="4">
        <f t="shared" si="9"/>
        <v>5.8510638297872342E-2</v>
      </c>
      <c r="Z238" s="11">
        <f t="shared" si="10"/>
        <v>0.55276381909547734</v>
      </c>
      <c r="AA238" s="19">
        <f t="shared" si="11"/>
        <v>44500</v>
      </c>
    </row>
    <row r="239" spans="2:27" x14ac:dyDescent="0.45">
      <c r="B239" s="7">
        <v>304</v>
      </c>
      <c r="C239" s="1" t="s">
        <v>198</v>
      </c>
      <c r="D239" s="1" t="s">
        <v>541</v>
      </c>
      <c r="E239" s="1" t="s">
        <v>547</v>
      </c>
      <c r="F239" s="1" t="s">
        <v>548</v>
      </c>
      <c r="G239" s="19">
        <v>6</v>
      </c>
      <c r="H239" s="19">
        <v>48</v>
      </c>
      <c r="I239" s="19">
        <v>50</v>
      </c>
      <c r="J239" s="19">
        <v>35</v>
      </c>
      <c r="K239" s="1" t="s">
        <v>204</v>
      </c>
      <c r="L239" s="2" t="s">
        <v>453</v>
      </c>
      <c r="M239" s="19">
        <v>2024</v>
      </c>
      <c r="N239" s="1" t="s">
        <v>434</v>
      </c>
      <c r="O239" s="19">
        <v>1045</v>
      </c>
      <c r="P239" s="5" t="s">
        <v>18</v>
      </c>
      <c r="Q239" s="18">
        <v>3</v>
      </c>
      <c r="R239" s="19">
        <v>2</v>
      </c>
      <c r="S239" s="18">
        <v>24</v>
      </c>
      <c r="T239" s="14">
        <v>0</v>
      </c>
      <c r="U239" s="14">
        <v>100000</v>
      </c>
      <c r="V239" s="14">
        <v>55000</v>
      </c>
      <c r="W239" s="4" t="e">
        <f t="shared" si="9"/>
        <v>#DIV/0!</v>
      </c>
      <c r="Z239" s="11">
        <f t="shared" si="10"/>
        <v>0.55000000000000004</v>
      </c>
      <c r="AA239" s="19">
        <f t="shared" si="11"/>
        <v>45000</v>
      </c>
    </row>
    <row r="240" spans="2:27" x14ac:dyDescent="0.45">
      <c r="B240" s="7">
        <v>510</v>
      </c>
      <c r="C240" s="1" t="s">
        <v>26</v>
      </c>
      <c r="D240" s="1" t="s">
        <v>555</v>
      </c>
      <c r="E240" s="1" t="s">
        <v>591</v>
      </c>
      <c r="F240" s="1" t="s">
        <v>590</v>
      </c>
      <c r="G240" s="19">
        <v>5</v>
      </c>
      <c r="H240" s="19">
        <v>45</v>
      </c>
      <c r="I240" s="19">
        <v>21</v>
      </c>
      <c r="J240" s="19">
        <v>34</v>
      </c>
      <c r="K240" s="2" t="s">
        <v>131</v>
      </c>
      <c r="L240" s="2" t="s">
        <v>433</v>
      </c>
      <c r="M240" s="19">
        <v>1995</v>
      </c>
      <c r="N240" s="1" t="s">
        <v>434</v>
      </c>
      <c r="O240" s="19">
        <v>1016</v>
      </c>
      <c r="P240" s="1" t="s">
        <v>5</v>
      </c>
      <c r="Q240" s="19">
        <v>3</v>
      </c>
      <c r="R240" s="19">
        <v>1</v>
      </c>
      <c r="S240" s="19">
        <v>24</v>
      </c>
      <c r="T240" s="14">
        <v>105000</v>
      </c>
      <c r="U240" s="14">
        <v>100000</v>
      </c>
      <c r="V240" s="14">
        <v>44000</v>
      </c>
      <c r="W240" s="4">
        <f t="shared" si="9"/>
        <v>-4.7619047619047616E-2</v>
      </c>
      <c r="Z240" s="11">
        <f t="shared" si="10"/>
        <v>0.44</v>
      </c>
      <c r="AA240" s="19">
        <f t="shared" si="11"/>
        <v>56000</v>
      </c>
    </row>
    <row r="241" spans="2:27" x14ac:dyDescent="0.45">
      <c r="B241" s="7">
        <v>580</v>
      </c>
      <c r="C241" s="1" t="s">
        <v>58</v>
      </c>
      <c r="D241" s="1" t="s">
        <v>607</v>
      </c>
      <c r="E241" s="1" t="s">
        <v>612</v>
      </c>
      <c r="F241" s="1" t="s">
        <v>613</v>
      </c>
      <c r="G241" s="19">
        <v>6</v>
      </c>
      <c r="H241" s="19">
        <v>25</v>
      </c>
      <c r="I241" s="19">
        <v>35</v>
      </c>
      <c r="J241" s="19">
        <v>32</v>
      </c>
      <c r="K241" s="1" t="s">
        <v>258</v>
      </c>
      <c r="L241" s="2" t="s">
        <v>439</v>
      </c>
      <c r="M241" s="19">
        <v>2006</v>
      </c>
      <c r="N241" s="1" t="s">
        <v>440</v>
      </c>
      <c r="O241" s="19">
        <v>374</v>
      </c>
      <c r="P241" s="1" t="s">
        <v>18</v>
      </c>
      <c r="Q241" s="19">
        <v>3</v>
      </c>
      <c r="R241" s="19">
        <v>1</v>
      </c>
      <c r="S241" s="19">
        <v>25</v>
      </c>
      <c r="T241" s="14">
        <v>103000</v>
      </c>
      <c r="U241" s="14">
        <v>100000</v>
      </c>
      <c r="V241" s="14">
        <v>53000</v>
      </c>
      <c r="W241" s="4">
        <f t="shared" si="9"/>
        <v>-2.9126213592233011E-2</v>
      </c>
      <c r="Z241" s="11">
        <f t="shared" si="10"/>
        <v>0.53</v>
      </c>
      <c r="AA241" s="19">
        <f t="shared" si="11"/>
        <v>47000</v>
      </c>
    </row>
    <row r="242" spans="2:27" x14ac:dyDescent="0.45">
      <c r="B242" s="7">
        <v>772</v>
      </c>
      <c r="C242" s="5" t="s">
        <v>242</v>
      </c>
      <c r="D242" s="5" t="s">
        <v>711</v>
      </c>
      <c r="E242" s="1" t="s">
        <v>738</v>
      </c>
      <c r="F242" s="1" t="s">
        <v>736</v>
      </c>
      <c r="G242" s="19">
        <v>3</v>
      </c>
      <c r="H242" s="19">
        <v>48</v>
      </c>
      <c r="I242" s="19">
        <v>60</v>
      </c>
      <c r="J242" s="19">
        <v>40</v>
      </c>
      <c r="K242" s="5" t="s">
        <v>246</v>
      </c>
      <c r="L242" s="2" t="s">
        <v>433</v>
      </c>
      <c r="M242" s="18">
        <v>1988</v>
      </c>
      <c r="N242" s="1" t="s">
        <v>434</v>
      </c>
      <c r="O242" s="18">
        <v>2634</v>
      </c>
      <c r="P242" s="5" t="s">
        <v>5</v>
      </c>
      <c r="Q242" s="18">
        <v>3</v>
      </c>
      <c r="R242" s="18">
        <v>1</v>
      </c>
      <c r="S242" s="18">
        <v>31</v>
      </c>
      <c r="T242" s="14">
        <v>124000</v>
      </c>
      <c r="U242" s="14">
        <v>100000</v>
      </c>
      <c r="V242" s="14">
        <v>50000</v>
      </c>
      <c r="W242" s="4">
        <f t="shared" si="9"/>
        <v>-0.19354838709677419</v>
      </c>
      <c r="Z242" s="11">
        <f t="shared" si="10"/>
        <v>0.5</v>
      </c>
      <c r="AA242" s="19">
        <f t="shared" si="11"/>
        <v>50000</v>
      </c>
    </row>
    <row r="243" spans="2:27" x14ac:dyDescent="0.45">
      <c r="B243" s="7">
        <v>794</v>
      </c>
      <c r="C243" s="5" t="s">
        <v>394</v>
      </c>
      <c r="D243" s="5" t="s">
        <v>753</v>
      </c>
      <c r="E243" s="1" t="s">
        <v>762</v>
      </c>
      <c r="F243" s="1" t="s">
        <v>760</v>
      </c>
      <c r="G243" s="19">
        <v>4</v>
      </c>
      <c r="H243" s="19">
        <v>48</v>
      </c>
      <c r="I243" s="19">
        <v>60</v>
      </c>
      <c r="J243" s="19">
        <v>43</v>
      </c>
      <c r="K243" s="5" t="s">
        <v>398</v>
      </c>
      <c r="L243" s="2" t="s">
        <v>433</v>
      </c>
      <c r="M243" s="18">
        <v>1992</v>
      </c>
      <c r="N243" s="1" t="s">
        <v>434</v>
      </c>
      <c r="O243" s="18">
        <v>1668</v>
      </c>
      <c r="P243" s="5" t="s">
        <v>18</v>
      </c>
      <c r="Q243" s="18">
        <v>3</v>
      </c>
      <c r="R243" s="18">
        <v>1</v>
      </c>
      <c r="S243" s="18">
        <v>25</v>
      </c>
      <c r="T243" s="14">
        <v>98000</v>
      </c>
      <c r="U243" s="14">
        <v>100000</v>
      </c>
      <c r="V243" s="14">
        <v>40000</v>
      </c>
      <c r="W243" s="4">
        <f t="shared" si="9"/>
        <v>2.0408163265306121E-2</v>
      </c>
      <c r="Z243" s="11">
        <f t="shared" si="10"/>
        <v>0.4</v>
      </c>
      <c r="AA243" s="19">
        <f t="shared" si="11"/>
        <v>60000</v>
      </c>
    </row>
    <row r="244" spans="2:27" x14ac:dyDescent="0.45">
      <c r="B244" s="7">
        <v>860</v>
      </c>
      <c r="C244" s="1" t="s">
        <v>95</v>
      </c>
      <c r="D244" s="1" t="s">
        <v>781</v>
      </c>
      <c r="E244" s="1" t="s">
        <v>792</v>
      </c>
      <c r="F244" s="1" t="s">
        <v>793</v>
      </c>
      <c r="G244" s="19">
        <v>5</v>
      </c>
      <c r="H244" s="19">
        <v>40</v>
      </c>
      <c r="I244" s="19">
        <v>32</v>
      </c>
      <c r="J244" s="19">
        <v>32</v>
      </c>
      <c r="K244" s="1" t="s">
        <v>388</v>
      </c>
      <c r="L244" s="2" t="s">
        <v>439</v>
      </c>
      <c r="M244" s="19">
        <v>2002</v>
      </c>
      <c r="N244" s="1" t="s">
        <v>440</v>
      </c>
      <c r="O244" s="19">
        <v>302</v>
      </c>
      <c r="P244" s="1" t="s">
        <v>18</v>
      </c>
      <c r="Q244" s="19">
        <v>3</v>
      </c>
      <c r="R244" s="19">
        <v>2</v>
      </c>
      <c r="S244" s="19">
        <v>33</v>
      </c>
      <c r="T244" s="14">
        <v>90000</v>
      </c>
      <c r="U244" s="14">
        <v>100000</v>
      </c>
      <c r="V244" s="14">
        <v>48000</v>
      </c>
      <c r="W244" s="4">
        <f t="shared" si="9"/>
        <v>0.1111111111111111</v>
      </c>
      <c r="Z244" s="11">
        <f t="shared" si="10"/>
        <v>0.48</v>
      </c>
      <c r="AA244" s="19">
        <f t="shared" si="11"/>
        <v>52000</v>
      </c>
    </row>
    <row r="245" spans="2:27" x14ac:dyDescent="0.45">
      <c r="B245" s="7">
        <v>874</v>
      </c>
      <c r="C245" s="1" t="s">
        <v>95</v>
      </c>
      <c r="D245" s="1" t="s">
        <v>781</v>
      </c>
      <c r="E245" s="1" t="s">
        <v>797</v>
      </c>
      <c r="F245" s="1" t="s">
        <v>795</v>
      </c>
      <c r="G245" s="19">
        <v>4</v>
      </c>
      <c r="H245" s="19">
        <v>42</v>
      </c>
      <c r="I245" s="19">
        <v>35</v>
      </c>
      <c r="J245" s="19">
        <v>32</v>
      </c>
      <c r="K245" s="1" t="s">
        <v>377</v>
      </c>
      <c r="L245" s="2" t="s">
        <v>439</v>
      </c>
      <c r="M245" s="19">
        <v>2000</v>
      </c>
      <c r="N245" s="1" t="s">
        <v>434</v>
      </c>
      <c r="O245" s="19">
        <v>1830</v>
      </c>
      <c r="P245" s="1" t="s">
        <v>18</v>
      </c>
      <c r="Q245" s="19">
        <v>3</v>
      </c>
      <c r="R245" s="19">
        <v>2</v>
      </c>
      <c r="S245" s="19">
        <v>33</v>
      </c>
      <c r="T245" s="14">
        <v>110000</v>
      </c>
      <c r="U245" s="14">
        <v>100000</v>
      </c>
      <c r="V245" s="14">
        <v>58000</v>
      </c>
      <c r="W245" s="4">
        <f t="shared" si="9"/>
        <v>-9.0909090909090912E-2</v>
      </c>
      <c r="Z245" s="11">
        <f t="shared" si="10"/>
        <v>0.57999999999999996</v>
      </c>
      <c r="AA245" s="19">
        <f t="shared" si="11"/>
        <v>42000</v>
      </c>
    </row>
    <row r="246" spans="2:27" x14ac:dyDescent="0.45">
      <c r="B246" s="7">
        <v>1340</v>
      </c>
      <c r="C246" s="1" t="s">
        <v>901</v>
      </c>
      <c r="D246" s="1" t="s">
        <v>899</v>
      </c>
      <c r="E246" s="1" t="s">
        <v>927</v>
      </c>
      <c r="F246" s="1" t="s">
        <v>925</v>
      </c>
      <c r="G246" s="19">
        <v>7</v>
      </c>
      <c r="H246" s="19">
        <v>55</v>
      </c>
      <c r="I246" s="19">
        <v>25</v>
      </c>
      <c r="J246" s="19">
        <v>35</v>
      </c>
      <c r="K246" s="1" t="s">
        <v>928</v>
      </c>
      <c r="L246" s="2" t="s">
        <v>439</v>
      </c>
      <c r="M246" s="19">
        <v>2000</v>
      </c>
      <c r="N246" s="1" t="s">
        <v>434</v>
      </c>
      <c r="O246" s="19">
        <v>1114</v>
      </c>
      <c r="P246" s="1" t="s">
        <v>18</v>
      </c>
      <c r="Q246" s="19">
        <v>3</v>
      </c>
      <c r="R246" s="19">
        <v>1</v>
      </c>
      <c r="S246" s="19">
        <v>25</v>
      </c>
      <c r="T246" s="14">
        <v>90000</v>
      </c>
      <c r="U246" s="14">
        <v>100000</v>
      </c>
      <c r="V246" s="14">
        <v>56000</v>
      </c>
      <c r="W246" s="4">
        <f t="shared" si="9"/>
        <v>0.1111111111111111</v>
      </c>
      <c r="Z246" s="11">
        <f t="shared" si="10"/>
        <v>0.56000000000000005</v>
      </c>
      <c r="AA246" s="19">
        <f t="shared" si="11"/>
        <v>44000</v>
      </c>
    </row>
    <row r="247" spans="2:27" x14ac:dyDescent="0.45">
      <c r="B247" s="7">
        <v>2207</v>
      </c>
      <c r="C247" s="1" t="s">
        <v>92</v>
      </c>
      <c r="D247" s="1" t="s">
        <v>1150</v>
      </c>
      <c r="E247" s="1" t="s">
        <v>1170</v>
      </c>
      <c r="F247" s="1" t="s">
        <v>1168</v>
      </c>
      <c r="G247" s="19">
        <v>10</v>
      </c>
      <c r="H247" s="19">
        <v>52</v>
      </c>
      <c r="I247" s="19">
        <v>25</v>
      </c>
      <c r="J247" s="19">
        <v>30</v>
      </c>
      <c r="K247" s="2" t="s">
        <v>280</v>
      </c>
      <c r="L247" s="2" t="s">
        <v>439</v>
      </c>
      <c r="M247" s="19">
        <v>2000</v>
      </c>
      <c r="N247" s="1" t="s">
        <v>440</v>
      </c>
      <c r="O247" s="19">
        <v>196</v>
      </c>
      <c r="P247" s="1" t="s">
        <v>18</v>
      </c>
      <c r="Q247" s="19">
        <v>3</v>
      </c>
      <c r="R247" s="19">
        <v>2</v>
      </c>
      <c r="S247" s="19">
        <v>32</v>
      </c>
      <c r="T247" s="14">
        <v>108000</v>
      </c>
      <c r="U247" s="14">
        <v>100000</v>
      </c>
      <c r="V247" s="14">
        <v>65000</v>
      </c>
      <c r="W247" s="4">
        <f t="shared" si="9"/>
        <v>-7.407407407407407E-2</v>
      </c>
      <c r="Z247" s="11">
        <f t="shared" si="10"/>
        <v>0.65</v>
      </c>
      <c r="AA247" s="19">
        <f t="shared" si="11"/>
        <v>35000</v>
      </c>
    </row>
    <row r="248" spans="2:27" x14ac:dyDescent="0.45">
      <c r="B248" s="7">
        <v>2226</v>
      </c>
      <c r="C248" s="1" t="s">
        <v>226</v>
      </c>
      <c r="D248" s="1" t="s">
        <v>1150</v>
      </c>
      <c r="E248" s="1" t="s">
        <v>1176</v>
      </c>
      <c r="F248" s="1" t="s">
        <v>1175</v>
      </c>
      <c r="G248" s="19">
        <v>8</v>
      </c>
      <c r="H248" s="19">
        <v>52</v>
      </c>
      <c r="I248" s="19">
        <v>48</v>
      </c>
      <c r="J248" s="19">
        <v>28</v>
      </c>
      <c r="K248" s="2" t="s">
        <v>227</v>
      </c>
      <c r="L248" s="2" t="s">
        <v>439</v>
      </c>
      <c r="M248" s="19">
        <v>2009</v>
      </c>
      <c r="N248" s="1" t="s">
        <v>447</v>
      </c>
      <c r="O248" s="19">
        <v>603</v>
      </c>
      <c r="P248" s="1" t="s">
        <v>18</v>
      </c>
      <c r="Q248" s="19">
        <v>3</v>
      </c>
      <c r="R248" s="19">
        <v>2</v>
      </c>
      <c r="S248" s="19">
        <v>33</v>
      </c>
      <c r="T248" s="14">
        <v>110000</v>
      </c>
      <c r="U248" s="14">
        <v>100000</v>
      </c>
      <c r="V248" s="14">
        <v>58000</v>
      </c>
      <c r="W248" s="4">
        <f t="shared" si="9"/>
        <v>-9.0909090909090912E-2</v>
      </c>
      <c r="Z248" s="11">
        <f t="shared" si="10"/>
        <v>0.57999999999999996</v>
      </c>
      <c r="AA248" s="19">
        <f t="shared" si="11"/>
        <v>42000</v>
      </c>
    </row>
    <row r="249" spans="2:27" x14ac:dyDescent="0.45">
      <c r="B249" s="7">
        <v>341</v>
      </c>
      <c r="C249" s="1" t="s">
        <v>86</v>
      </c>
      <c r="D249" s="1" t="s">
        <v>555</v>
      </c>
      <c r="E249" s="1" t="s">
        <v>559</v>
      </c>
      <c r="F249" s="1" t="s">
        <v>558</v>
      </c>
      <c r="G249" s="19">
        <v>5</v>
      </c>
      <c r="H249" s="19">
        <v>43</v>
      </c>
      <c r="I249" s="19">
        <v>16</v>
      </c>
      <c r="J249" s="19">
        <v>29</v>
      </c>
      <c r="K249" s="2" t="s">
        <v>324</v>
      </c>
      <c r="L249" s="2" t="s">
        <v>433</v>
      </c>
      <c r="M249" s="19">
        <v>1999</v>
      </c>
      <c r="N249" s="1" t="s">
        <v>447</v>
      </c>
      <c r="O249" s="19">
        <v>570</v>
      </c>
      <c r="P249" s="1" t="s">
        <v>5</v>
      </c>
      <c r="Q249" s="19">
        <v>3</v>
      </c>
      <c r="R249" s="19">
        <v>1</v>
      </c>
      <c r="S249" s="19">
        <v>24</v>
      </c>
      <c r="T249" s="14">
        <v>94250</v>
      </c>
      <c r="U249" s="14">
        <v>102000</v>
      </c>
      <c r="V249" s="14">
        <v>48000</v>
      </c>
      <c r="W249" s="4">
        <f t="shared" si="9"/>
        <v>8.2228116710875335E-2</v>
      </c>
      <c r="Z249" s="11">
        <f t="shared" si="10"/>
        <v>0.47058823529411764</v>
      </c>
      <c r="AA249" s="19">
        <f t="shared" si="11"/>
        <v>54000</v>
      </c>
    </row>
    <row r="250" spans="2:27" x14ac:dyDescent="0.45">
      <c r="B250" s="7">
        <v>779</v>
      </c>
      <c r="C250" s="5" t="s">
        <v>242</v>
      </c>
      <c r="D250" s="5" t="s">
        <v>711</v>
      </c>
      <c r="E250" s="1" t="s">
        <v>742</v>
      </c>
      <c r="F250" s="1" t="s">
        <v>736</v>
      </c>
      <c r="G250" s="19">
        <v>8</v>
      </c>
      <c r="H250" s="19">
        <v>53</v>
      </c>
      <c r="I250" s="19">
        <v>65</v>
      </c>
      <c r="J250" s="19">
        <v>45</v>
      </c>
      <c r="K250" s="5" t="s">
        <v>243</v>
      </c>
      <c r="L250" s="2" t="s">
        <v>453</v>
      </c>
      <c r="M250" s="18">
        <v>2020</v>
      </c>
      <c r="N250" s="1" t="s">
        <v>447</v>
      </c>
      <c r="O250" s="18">
        <v>810</v>
      </c>
      <c r="P250" s="5" t="s">
        <v>18</v>
      </c>
      <c r="Q250" s="18">
        <v>3</v>
      </c>
      <c r="R250" s="18">
        <v>2</v>
      </c>
      <c r="S250" s="18">
        <v>33</v>
      </c>
      <c r="T250" s="14">
        <v>120000</v>
      </c>
      <c r="U250" s="14">
        <v>102000</v>
      </c>
      <c r="V250" s="14">
        <v>62000</v>
      </c>
      <c r="W250" s="4">
        <f t="shared" si="9"/>
        <v>-0.15</v>
      </c>
      <c r="Z250" s="11">
        <f t="shared" si="10"/>
        <v>0.60784313725490191</v>
      </c>
      <c r="AA250" s="19">
        <f t="shared" si="11"/>
        <v>40000</v>
      </c>
    </row>
    <row r="251" spans="2:27" x14ac:dyDescent="0.45">
      <c r="B251" s="7">
        <v>876</v>
      </c>
      <c r="C251" s="1" t="s">
        <v>95</v>
      </c>
      <c r="D251" s="1" t="s">
        <v>781</v>
      </c>
      <c r="E251" s="1" t="s">
        <v>797</v>
      </c>
      <c r="F251" s="1" t="s">
        <v>795</v>
      </c>
      <c r="G251" s="19">
        <v>4</v>
      </c>
      <c r="H251" s="19">
        <v>42</v>
      </c>
      <c r="I251" s="19">
        <v>35</v>
      </c>
      <c r="J251" s="19">
        <v>32</v>
      </c>
      <c r="K251" s="1" t="s">
        <v>377</v>
      </c>
      <c r="L251" s="2" t="s">
        <v>439</v>
      </c>
      <c r="M251" s="19">
        <v>2000</v>
      </c>
      <c r="N251" s="1" t="s">
        <v>434</v>
      </c>
      <c r="O251" s="19">
        <v>1830</v>
      </c>
      <c r="P251" s="1" t="s">
        <v>5</v>
      </c>
      <c r="Q251" s="19">
        <v>2</v>
      </c>
      <c r="R251" s="19">
        <v>1</v>
      </c>
      <c r="S251" s="19">
        <v>25</v>
      </c>
      <c r="T251" s="14">
        <v>89000</v>
      </c>
      <c r="U251" s="14">
        <v>102000</v>
      </c>
      <c r="V251" s="14">
        <v>45000</v>
      </c>
      <c r="W251" s="4">
        <f t="shared" si="9"/>
        <v>0.14606741573033707</v>
      </c>
      <c r="Z251" s="11">
        <f t="shared" si="10"/>
        <v>0.44117647058823528</v>
      </c>
      <c r="AA251" s="19">
        <f t="shared" si="11"/>
        <v>57000</v>
      </c>
    </row>
    <row r="252" spans="2:27" x14ac:dyDescent="0.45">
      <c r="B252" s="7">
        <v>1130</v>
      </c>
      <c r="C252" s="1" t="s">
        <v>1</v>
      </c>
      <c r="D252" s="1" t="s">
        <v>866</v>
      </c>
      <c r="E252" s="1" t="s">
        <v>872</v>
      </c>
      <c r="F252" s="1" t="s">
        <v>873</v>
      </c>
      <c r="G252" s="19">
        <v>10</v>
      </c>
      <c r="H252" s="19">
        <v>55</v>
      </c>
      <c r="I252" s="19">
        <v>25</v>
      </c>
      <c r="J252" s="19">
        <v>40</v>
      </c>
      <c r="K252" s="1" t="s">
        <v>344</v>
      </c>
      <c r="L252" s="2" t="s">
        <v>439</v>
      </c>
      <c r="M252" s="19">
        <v>2006</v>
      </c>
      <c r="N252" s="1" t="s">
        <v>440</v>
      </c>
      <c r="O252" s="19">
        <v>499</v>
      </c>
      <c r="P252" s="1" t="s">
        <v>18</v>
      </c>
      <c r="Q252" s="19">
        <v>3</v>
      </c>
      <c r="R252" s="19">
        <v>2</v>
      </c>
      <c r="S252" s="19">
        <v>25</v>
      </c>
      <c r="T252" s="14">
        <v>88000</v>
      </c>
      <c r="U252" s="14">
        <v>102000</v>
      </c>
      <c r="V252" s="14">
        <v>45000</v>
      </c>
      <c r="W252" s="4">
        <f t="shared" si="9"/>
        <v>0.15909090909090909</v>
      </c>
      <c r="Z252" s="11">
        <f t="shared" si="10"/>
        <v>0.44117647058823528</v>
      </c>
      <c r="AA252" s="19">
        <f t="shared" si="11"/>
        <v>57000</v>
      </c>
    </row>
    <row r="253" spans="2:27" x14ac:dyDescent="0.45">
      <c r="B253" s="7">
        <v>783</v>
      </c>
      <c r="C253" s="5" t="s">
        <v>726</v>
      </c>
      <c r="D253" s="5" t="s">
        <v>711</v>
      </c>
      <c r="E253" s="1" t="s">
        <v>745</v>
      </c>
      <c r="F253" s="1" t="s">
        <v>746</v>
      </c>
      <c r="G253" s="19">
        <v>6</v>
      </c>
      <c r="H253" s="19">
        <v>40</v>
      </c>
      <c r="I253" s="19">
        <v>50</v>
      </c>
      <c r="J253" s="19">
        <v>45</v>
      </c>
      <c r="K253" s="5" t="s">
        <v>747</v>
      </c>
      <c r="L253" s="2" t="s">
        <v>453</v>
      </c>
      <c r="M253" s="18">
        <v>2022</v>
      </c>
      <c r="N253" s="1" t="s">
        <v>434</v>
      </c>
      <c r="O253" s="18">
        <v>1308</v>
      </c>
      <c r="P253" s="5" t="s">
        <v>18</v>
      </c>
      <c r="Q253" s="18">
        <v>3</v>
      </c>
      <c r="R253" s="18">
        <v>2</v>
      </c>
      <c r="S253" s="18">
        <v>29</v>
      </c>
      <c r="T253" s="14">
        <v>119000</v>
      </c>
      <c r="U253" s="14">
        <v>103000</v>
      </c>
      <c r="V253" s="14">
        <v>65000</v>
      </c>
      <c r="W253" s="4">
        <f t="shared" si="9"/>
        <v>-0.13445378151260504</v>
      </c>
      <c r="Z253" s="11">
        <f t="shared" si="10"/>
        <v>0.6310679611650486</v>
      </c>
      <c r="AA253" s="19">
        <f t="shared" si="11"/>
        <v>38000</v>
      </c>
    </row>
    <row r="254" spans="2:27" x14ac:dyDescent="0.45">
      <c r="B254" s="7">
        <v>2272</v>
      </c>
      <c r="C254" s="1" t="s">
        <v>44</v>
      </c>
      <c r="D254" s="1" t="s">
        <v>1182</v>
      </c>
      <c r="E254" s="1" t="s">
        <v>1191</v>
      </c>
      <c r="F254" s="1" t="s">
        <v>1190</v>
      </c>
      <c r="G254" s="19">
        <v>5</v>
      </c>
      <c r="H254" s="19">
        <v>45</v>
      </c>
      <c r="I254" s="19">
        <v>35</v>
      </c>
      <c r="J254" s="19">
        <v>12</v>
      </c>
      <c r="K254" s="1" t="s">
        <v>194</v>
      </c>
      <c r="L254" s="2" t="s">
        <v>439</v>
      </c>
      <c r="M254" s="19">
        <v>2000</v>
      </c>
      <c r="N254" s="1" t="s">
        <v>447</v>
      </c>
      <c r="O254" s="19">
        <v>964</v>
      </c>
      <c r="P254" s="1" t="s">
        <v>5</v>
      </c>
      <c r="Q254" s="19">
        <v>3</v>
      </c>
      <c r="R254" s="19">
        <v>1</v>
      </c>
      <c r="S254" s="19">
        <v>25</v>
      </c>
      <c r="T254" s="14">
        <v>112490</v>
      </c>
      <c r="U254" s="14">
        <v>103000</v>
      </c>
      <c r="V254" s="14">
        <v>50000</v>
      </c>
      <c r="W254" s="4">
        <f t="shared" si="9"/>
        <v>-8.436305449373277E-2</v>
      </c>
      <c r="Z254" s="11">
        <f t="shared" si="10"/>
        <v>0.4854368932038835</v>
      </c>
      <c r="AA254" s="19">
        <f t="shared" si="11"/>
        <v>53000</v>
      </c>
    </row>
    <row r="255" spans="2:27" x14ac:dyDescent="0.45">
      <c r="B255" s="7">
        <v>2223</v>
      </c>
      <c r="C255" s="1" t="s">
        <v>226</v>
      </c>
      <c r="D255" s="1" t="s">
        <v>1150</v>
      </c>
      <c r="E255" s="1" t="s">
        <v>1172</v>
      </c>
      <c r="F255" s="1" t="s">
        <v>1173</v>
      </c>
      <c r="G255" s="19">
        <v>5</v>
      </c>
      <c r="H255" s="19">
        <v>50</v>
      </c>
      <c r="I255" s="19">
        <v>45</v>
      </c>
      <c r="J255" s="19">
        <v>25</v>
      </c>
      <c r="K255" s="2" t="s">
        <v>229</v>
      </c>
      <c r="L255" s="2" t="s">
        <v>439</v>
      </c>
      <c r="M255" s="19">
        <v>2011</v>
      </c>
      <c r="N255" s="1" t="s">
        <v>447</v>
      </c>
      <c r="O255" s="19">
        <v>882</v>
      </c>
      <c r="P255" s="1" t="s">
        <v>18</v>
      </c>
      <c r="Q255" s="19">
        <v>3</v>
      </c>
      <c r="R255" s="19">
        <v>2</v>
      </c>
      <c r="S255" s="19">
        <v>24</v>
      </c>
      <c r="T255" s="14">
        <v>106000</v>
      </c>
      <c r="U255" s="14">
        <v>104000</v>
      </c>
      <c r="V255" s="14">
        <v>55000</v>
      </c>
      <c r="W255" s="4">
        <f t="shared" si="9"/>
        <v>-1.8867924528301886E-2</v>
      </c>
      <c r="Z255" s="11">
        <f t="shared" si="10"/>
        <v>0.52884615384615385</v>
      </c>
      <c r="AA255" s="19">
        <f t="shared" si="11"/>
        <v>49000</v>
      </c>
    </row>
    <row r="256" spans="2:27" x14ac:dyDescent="0.45">
      <c r="B256" s="7">
        <v>755</v>
      </c>
      <c r="C256" s="5" t="s">
        <v>726</v>
      </c>
      <c r="D256" s="5" t="s">
        <v>711</v>
      </c>
      <c r="E256" s="1" t="s">
        <v>727</v>
      </c>
      <c r="F256" s="1" t="s">
        <v>728</v>
      </c>
      <c r="G256" s="19">
        <v>6</v>
      </c>
      <c r="H256" s="19">
        <v>55</v>
      </c>
      <c r="I256" s="19">
        <v>45</v>
      </c>
      <c r="J256" s="19">
        <v>42</v>
      </c>
      <c r="K256" s="5" t="s">
        <v>342</v>
      </c>
      <c r="L256" s="2" t="s">
        <v>439</v>
      </c>
      <c r="M256" s="18">
        <v>2005</v>
      </c>
      <c r="N256" s="1" t="s">
        <v>440</v>
      </c>
      <c r="O256" s="18">
        <v>484</v>
      </c>
      <c r="P256" s="5" t="s">
        <v>18</v>
      </c>
      <c r="Q256" s="18">
        <v>3</v>
      </c>
      <c r="R256" s="18">
        <v>2</v>
      </c>
      <c r="S256" s="18">
        <v>33</v>
      </c>
      <c r="T256" s="14">
        <v>105000</v>
      </c>
      <c r="U256" s="14">
        <v>105000</v>
      </c>
      <c r="V256" s="14">
        <v>53000</v>
      </c>
      <c r="W256" s="4">
        <f t="shared" si="9"/>
        <v>0</v>
      </c>
      <c r="Z256" s="11">
        <f t="shared" si="10"/>
        <v>0.50476190476190474</v>
      </c>
      <c r="AA256" s="19">
        <f t="shared" si="11"/>
        <v>52000</v>
      </c>
    </row>
    <row r="257" spans="2:27" x14ac:dyDescent="0.45">
      <c r="B257" s="7">
        <v>892</v>
      </c>
      <c r="C257" s="1" t="s">
        <v>95</v>
      </c>
      <c r="D257" s="1" t="s">
        <v>781</v>
      </c>
      <c r="E257" s="1" t="s">
        <v>806</v>
      </c>
      <c r="F257" s="1" t="s">
        <v>805</v>
      </c>
      <c r="G257" s="19">
        <v>6</v>
      </c>
      <c r="H257" s="19">
        <v>50</v>
      </c>
      <c r="I257" s="19">
        <v>44</v>
      </c>
      <c r="J257" s="19">
        <v>40</v>
      </c>
      <c r="K257" s="1" t="s">
        <v>352</v>
      </c>
      <c r="L257" s="2" t="s">
        <v>439</v>
      </c>
      <c r="M257" s="19">
        <v>2004</v>
      </c>
      <c r="N257" s="1" t="s">
        <v>447</v>
      </c>
      <c r="O257" s="19">
        <v>648</v>
      </c>
      <c r="P257" s="1" t="s">
        <v>18</v>
      </c>
      <c r="Q257" s="19">
        <v>3</v>
      </c>
      <c r="R257" s="19">
        <v>2</v>
      </c>
      <c r="S257" s="19">
        <v>25</v>
      </c>
      <c r="T257" s="14">
        <v>92000</v>
      </c>
      <c r="U257" s="14">
        <v>105000</v>
      </c>
      <c r="V257" s="14">
        <v>55000</v>
      </c>
      <c r="W257" s="4">
        <f t="shared" si="9"/>
        <v>0.14130434782608695</v>
      </c>
      <c r="Z257" s="11">
        <f t="shared" si="10"/>
        <v>0.52380952380952384</v>
      </c>
      <c r="AA257" s="19">
        <f t="shared" si="11"/>
        <v>50000</v>
      </c>
    </row>
    <row r="258" spans="2:27" x14ac:dyDescent="0.45">
      <c r="B258" s="7">
        <v>1281</v>
      </c>
      <c r="C258" s="1" t="s">
        <v>901</v>
      </c>
      <c r="D258" s="1" t="s">
        <v>899</v>
      </c>
      <c r="E258" s="1" t="s">
        <v>907</v>
      </c>
      <c r="F258" s="1" t="s">
        <v>908</v>
      </c>
      <c r="G258" s="19">
        <v>5</v>
      </c>
      <c r="H258" s="19">
        <v>45</v>
      </c>
      <c r="I258" s="19">
        <v>35</v>
      </c>
      <c r="J258" s="19">
        <v>18</v>
      </c>
      <c r="K258" s="1" t="s">
        <v>359</v>
      </c>
      <c r="L258" s="2" t="s">
        <v>439</v>
      </c>
      <c r="M258" s="19">
        <v>2000</v>
      </c>
      <c r="N258" s="1" t="s">
        <v>447</v>
      </c>
      <c r="O258" s="19">
        <v>700</v>
      </c>
      <c r="P258" s="1" t="s">
        <v>18</v>
      </c>
      <c r="Q258" s="19">
        <v>3</v>
      </c>
      <c r="R258" s="19">
        <v>2</v>
      </c>
      <c r="S258" s="19">
        <v>33</v>
      </c>
      <c r="T258" s="14">
        <v>110000</v>
      </c>
      <c r="U258" s="14">
        <v>105000</v>
      </c>
      <c r="V258" s="14">
        <v>55000</v>
      </c>
      <c r="W258" s="4">
        <f t="shared" si="9"/>
        <v>-4.5454545454545456E-2</v>
      </c>
      <c r="Z258" s="11">
        <f t="shared" si="10"/>
        <v>0.52380952380952384</v>
      </c>
      <c r="AA258" s="19">
        <f t="shared" si="11"/>
        <v>50000</v>
      </c>
    </row>
    <row r="259" spans="2:27" x14ac:dyDescent="0.45">
      <c r="B259" s="7">
        <v>1619</v>
      </c>
      <c r="C259" s="1" t="s">
        <v>13</v>
      </c>
      <c r="D259" s="1" t="s">
        <v>998</v>
      </c>
      <c r="E259" s="1" t="s">
        <v>1010</v>
      </c>
      <c r="F259" s="1" t="s">
        <v>1011</v>
      </c>
      <c r="G259" s="19">
        <v>4</v>
      </c>
      <c r="H259" s="19">
        <v>45</v>
      </c>
      <c r="I259" s="19">
        <v>42</v>
      </c>
      <c r="J259" s="19">
        <v>35</v>
      </c>
      <c r="K259" s="1" t="s">
        <v>343</v>
      </c>
      <c r="L259" s="2" t="s">
        <v>439</v>
      </c>
      <c r="M259" s="19">
        <v>2007</v>
      </c>
      <c r="N259" s="1" t="s">
        <v>447</v>
      </c>
      <c r="O259" s="19">
        <v>787</v>
      </c>
      <c r="P259" s="1" t="s">
        <v>18</v>
      </c>
      <c r="Q259" s="19">
        <v>3</v>
      </c>
      <c r="R259" s="19">
        <v>2</v>
      </c>
      <c r="S259" s="19">
        <v>33</v>
      </c>
      <c r="T259" s="14">
        <v>112000</v>
      </c>
      <c r="U259" s="14">
        <v>105000</v>
      </c>
      <c r="V259" s="14">
        <v>62000</v>
      </c>
      <c r="W259" s="4">
        <f t="shared" si="9"/>
        <v>-6.25E-2</v>
      </c>
      <c r="Z259" s="11">
        <f t="shared" si="10"/>
        <v>0.59047619047619049</v>
      </c>
      <c r="AA259" s="19">
        <f t="shared" si="11"/>
        <v>43000</v>
      </c>
    </row>
    <row r="260" spans="2:27" x14ac:dyDescent="0.45">
      <c r="B260" s="7">
        <v>1650</v>
      </c>
      <c r="C260" s="1" t="s">
        <v>13</v>
      </c>
      <c r="D260" s="1" t="s">
        <v>998</v>
      </c>
      <c r="E260" s="1" t="s">
        <v>1018</v>
      </c>
      <c r="F260" s="1" t="s">
        <v>1012</v>
      </c>
      <c r="G260" s="19">
        <v>6</v>
      </c>
      <c r="H260" s="19">
        <v>45</v>
      </c>
      <c r="I260" s="19">
        <v>42</v>
      </c>
      <c r="J260" s="19">
        <v>35</v>
      </c>
      <c r="K260" s="1" t="s">
        <v>159</v>
      </c>
      <c r="L260" s="2" t="s">
        <v>439</v>
      </c>
      <c r="M260" s="19">
        <v>2006</v>
      </c>
      <c r="N260" s="1" t="s">
        <v>434</v>
      </c>
      <c r="O260" s="19">
        <v>1372</v>
      </c>
      <c r="P260" s="1" t="s">
        <v>18</v>
      </c>
      <c r="Q260" s="19">
        <v>3</v>
      </c>
      <c r="R260" s="19">
        <v>2</v>
      </c>
      <c r="S260" s="19">
        <v>33</v>
      </c>
      <c r="T260" s="14">
        <v>115000</v>
      </c>
      <c r="U260" s="14">
        <v>105000</v>
      </c>
      <c r="V260" s="14">
        <v>60000</v>
      </c>
      <c r="W260" s="4">
        <f t="shared" si="9"/>
        <v>-8.6956521739130432E-2</v>
      </c>
      <c r="Z260" s="11">
        <f t="shared" si="10"/>
        <v>0.5714285714285714</v>
      </c>
      <c r="AA260" s="19">
        <f t="shared" si="11"/>
        <v>45000</v>
      </c>
    </row>
    <row r="261" spans="2:27" x14ac:dyDescent="0.45">
      <c r="B261" s="7">
        <v>1674</v>
      </c>
      <c r="C261" s="1" t="s">
        <v>77</v>
      </c>
      <c r="D261" s="1" t="s">
        <v>998</v>
      </c>
      <c r="E261" s="1" t="s">
        <v>1023</v>
      </c>
      <c r="F261" s="1" t="s">
        <v>1024</v>
      </c>
      <c r="G261" s="19">
        <v>4</v>
      </c>
      <c r="H261" s="19">
        <v>45</v>
      </c>
      <c r="I261" s="19">
        <v>40</v>
      </c>
      <c r="J261" s="19">
        <v>25</v>
      </c>
      <c r="K261" s="6" t="s">
        <v>123</v>
      </c>
      <c r="L261" s="2" t="s">
        <v>453</v>
      </c>
      <c r="M261" s="19">
        <v>2016</v>
      </c>
      <c r="N261" s="1" t="s">
        <v>447</v>
      </c>
      <c r="O261" s="19">
        <v>629</v>
      </c>
      <c r="P261" s="1" t="s">
        <v>18</v>
      </c>
      <c r="Q261" s="19">
        <v>3</v>
      </c>
      <c r="R261" s="19">
        <v>2</v>
      </c>
      <c r="S261" s="19">
        <v>25</v>
      </c>
      <c r="T261" s="14">
        <v>98500</v>
      </c>
      <c r="U261" s="14">
        <v>105000</v>
      </c>
      <c r="V261" s="14">
        <v>55000</v>
      </c>
      <c r="W261" s="4">
        <f t="shared" si="9"/>
        <v>6.5989847715736044E-2</v>
      </c>
      <c r="Z261" s="11">
        <f t="shared" si="10"/>
        <v>0.52380952380952384</v>
      </c>
      <c r="AA261" s="19">
        <f t="shared" si="11"/>
        <v>50000</v>
      </c>
    </row>
    <row r="262" spans="2:27" x14ac:dyDescent="0.45">
      <c r="B262" s="7">
        <v>1935</v>
      </c>
      <c r="C262" s="1" t="s">
        <v>73</v>
      </c>
      <c r="D262" s="1" t="s">
        <v>1077</v>
      </c>
      <c r="E262" s="1" t="s">
        <v>1094</v>
      </c>
      <c r="F262" s="1" t="s">
        <v>1080</v>
      </c>
      <c r="G262" s="19">
        <v>10</v>
      </c>
      <c r="H262" s="19">
        <v>50</v>
      </c>
      <c r="I262" s="19">
        <v>28</v>
      </c>
      <c r="J262" s="19">
        <v>38</v>
      </c>
      <c r="K262" s="1" t="s">
        <v>272</v>
      </c>
      <c r="L262" s="2" t="s">
        <v>439</v>
      </c>
      <c r="M262" s="19">
        <v>2006</v>
      </c>
      <c r="N262" s="1" t="s">
        <v>440</v>
      </c>
      <c r="O262" s="19">
        <v>326</v>
      </c>
      <c r="P262" s="1" t="s">
        <v>18</v>
      </c>
      <c r="Q262" s="19">
        <v>3</v>
      </c>
      <c r="R262" s="19">
        <v>2</v>
      </c>
      <c r="S262" s="19">
        <v>25</v>
      </c>
      <c r="T262" s="14">
        <v>89000</v>
      </c>
      <c r="U262" s="14">
        <v>105000</v>
      </c>
      <c r="V262" s="14">
        <v>53000</v>
      </c>
      <c r="W262" s="4">
        <f t="shared" ref="W262:W325" si="12">(U262-$T262)/$T262</f>
        <v>0.1797752808988764</v>
      </c>
      <c r="Z262" s="11">
        <f t="shared" ref="Z262:Z325" si="13">V262/U262</f>
        <v>0.50476190476190474</v>
      </c>
      <c r="AA262" s="19">
        <f t="shared" ref="AA262:AA325" si="14">U262-V262</f>
        <v>52000</v>
      </c>
    </row>
    <row r="263" spans="2:27" x14ac:dyDescent="0.45">
      <c r="B263" s="7">
        <v>2304</v>
      </c>
      <c r="C263" s="5" t="s">
        <v>182</v>
      </c>
      <c r="D263" s="5" t="s">
        <v>1204</v>
      </c>
      <c r="E263" s="1" t="s">
        <v>1205</v>
      </c>
      <c r="F263" s="1" t="s">
        <v>1206</v>
      </c>
      <c r="G263" s="19">
        <v>5</v>
      </c>
      <c r="H263" s="19">
        <v>50</v>
      </c>
      <c r="I263" s="19">
        <v>55</v>
      </c>
      <c r="J263" s="19">
        <v>40</v>
      </c>
      <c r="K263" s="5" t="s">
        <v>389</v>
      </c>
      <c r="L263" s="2" t="s">
        <v>453</v>
      </c>
      <c r="M263" s="18">
        <v>2025</v>
      </c>
      <c r="N263" s="1" t="s">
        <v>434</v>
      </c>
      <c r="O263" s="18">
        <v>1055</v>
      </c>
      <c r="P263" s="5" t="s">
        <v>18</v>
      </c>
      <c r="Q263" s="18">
        <v>3</v>
      </c>
      <c r="R263" s="18">
        <v>2</v>
      </c>
      <c r="S263" s="18">
        <v>24</v>
      </c>
      <c r="T263" s="14">
        <v>0</v>
      </c>
      <c r="U263" s="14">
        <v>105000</v>
      </c>
      <c r="V263" s="14">
        <v>53000</v>
      </c>
      <c r="W263" s="4" t="e">
        <f t="shared" si="12"/>
        <v>#DIV/0!</v>
      </c>
      <c r="Z263" s="11">
        <f t="shared" si="13"/>
        <v>0.50476190476190474</v>
      </c>
      <c r="AA263" s="19">
        <f t="shared" si="14"/>
        <v>52000</v>
      </c>
    </row>
    <row r="264" spans="2:27" x14ac:dyDescent="0.45">
      <c r="B264" s="7">
        <v>2321</v>
      </c>
      <c r="C264" s="5" t="s">
        <v>178</v>
      </c>
      <c r="D264" s="5" t="s">
        <v>1204</v>
      </c>
      <c r="E264" s="1" t="s">
        <v>1218</v>
      </c>
      <c r="F264" s="1" t="s">
        <v>1219</v>
      </c>
      <c r="G264" s="19">
        <v>7</v>
      </c>
      <c r="H264" s="19">
        <v>40</v>
      </c>
      <c r="I264" s="19">
        <v>55</v>
      </c>
      <c r="J264" s="19">
        <v>45</v>
      </c>
      <c r="K264" s="5" t="s">
        <v>184</v>
      </c>
      <c r="L264" s="2" t="s">
        <v>453</v>
      </c>
      <c r="M264" s="18">
        <v>2019</v>
      </c>
      <c r="N264" s="1" t="s">
        <v>440</v>
      </c>
      <c r="O264" s="18">
        <v>497</v>
      </c>
      <c r="P264" s="5" t="s">
        <v>18</v>
      </c>
      <c r="Q264" s="18">
        <v>3</v>
      </c>
      <c r="R264" s="18">
        <v>2</v>
      </c>
      <c r="S264" s="18">
        <v>33</v>
      </c>
      <c r="T264" s="14">
        <v>128000</v>
      </c>
      <c r="U264" s="14">
        <v>105000</v>
      </c>
      <c r="V264" s="14">
        <v>75000</v>
      </c>
      <c r="W264" s="4">
        <f t="shared" si="12"/>
        <v>-0.1796875</v>
      </c>
      <c r="Z264" s="11">
        <f t="shared" si="13"/>
        <v>0.7142857142857143</v>
      </c>
      <c r="AA264" s="19">
        <f t="shared" si="14"/>
        <v>30000</v>
      </c>
    </row>
    <row r="265" spans="2:27" x14ac:dyDescent="0.45">
      <c r="B265" s="7">
        <v>748</v>
      </c>
      <c r="C265" s="5" t="s">
        <v>242</v>
      </c>
      <c r="D265" s="5" t="s">
        <v>711</v>
      </c>
      <c r="E265" s="1" t="s">
        <v>720</v>
      </c>
      <c r="F265" s="1" t="s">
        <v>721</v>
      </c>
      <c r="G265" s="19">
        <v>3</v>
      </c>
      <c r="H265" s="19">
        <v>58</v>
      </c>
      <c r="I265" s="19">
        <v>68</v>
      </c>
      <c r="J265" s="19">
        <v>51</v>
      </c>
      <c r="K265" s="5" t="s">
        <v>385</v>
      </c>
      <c r="L265" s="2" t="s">
        <v>433</v>
      </c>
      <c r="M265" s="18">
        <v>1992</v>
      </c>
      <c r="N265" s="1" t="s">
        <v>434</v>
      </c>
      <c r="O265" s="18">
        <v>2328</v>
      </c>
      <c r="P265" s="5" t="s">
        <v>18</v>
      </c>
      <c r="Q265" s="18">
        <v>3</v>
      </c>
      <c r="R265" s="18">
        <v>2</v>
      </c>
      <c r="S265" s="18">
        <v>28</v>
      </c>
      <c r="T265" s="14">
        <v>118500</v>
      </c>
      <c r="U265" s="14">
        <v>107000</v>
      </c>
      <c r="V265" s="14">
        <v>58000</v>
      </c>
      <c r="W265" s="4">
        <f t="shared" si="12"/>
        <v>-9.7046413502109699E-2</v>
      </c>
      <c r="Z265" s="11">
        <f t="shared" si="13"/>
        <v>0.54205607476635509</v>
      </c>
      <c r="AA265" s="19">
        <f t="shared" si="14"/>
        <v>49000</v>
      </c>
    </row>
    <row r="266" spans="2:27" x14ac:dyDescent="0.45">
      <c r="B266" s="7">
        <v>2013</v>
      </c>
      <c r="C266" s="1" t="s">
        <v>11</v>
      </c>
      <c r="D266" s="1" t="s">
        <v>1107</v>
      </c>
      <c r="E266" s="1" t="s">
        <v>1123</v>
      </c>
      <c r="F266" s="1" t="s">
        <v>833</v>
      </c>
      <c r="G266" s="19">
        <v>4</v>
      </c>
      <c r="H266" s="19">
        <v>38</v>
      </c>
      <c r="I266" s="19">
        <v>18</v>
      </c>
      <c r="J266" s="19">
        <v>28</v>
      </c>
      <c r="K266" s="1" t="s">
        <v>222</v>
      </c>
      <c r="L266" s="2" t="s">
        <v>439</v>
      </c>
      <c r="M266" s="19">
        <v>2005</v>
      </c>
      <c r="N266" s="1" t="s">
        <v>447</v>
      </c>
      <c r="O266" s="19">
        <v>669</v>
      </c>
      <c r="P266" s="1" t="s">
        <v>18</v>
      </c>
      <c r="Q266" s="19">
        <v>3</v>
      </c>
      <c r="R266" s="19">
        <v>2</v>
      </c>
      <c r="S266" s="19">
        <v>25</v>
      </c>
      <c r="T266" s="14">
        <v>97000</v>
      </c>
      <c r="U266" s="14">
        <v>107500</v>
      </c>
      <c r="V266" s="14">
        <v>52000</v>
      </c>
      <c r="W266" s="4">
        <f t="shared" si="12"/>
        <v>0.10824742268041238</v>
      </c>
      <c r="Z266" s="11">
        <f t="shared" si="13"/>
        <v>0.48372093023255813</v>
      </c>
      <c r="AA266" s="19">
        <f t="shared" si="14"/>
        <v>55500</v>
      </c>
    </row>
    <row r="267" spans="2:27" x14ac:dyDescent="0.45">
      <c r="B267" s="7">
        <v>882</v>
      </c>
      <c r="C267" s="1" t="s">
        <v>95</v>
      </c>
      <c r="D267" s="1" t="s">
        <v>781</v>
      </c>
      <c r="E267" s="1" t="s">
        <v>799</v>
      </c>
      <c r="F267" s="1" t="s">
        <v>798</v>
      </c>
      <c r="G267" s="19">
        <v>5</v>
      </c>
      <c r="H267" s="19">
        <v>43</v>
      </c>
      <c r="I267" s="19">
        <v>41</v>
      </c>
      <c r="J267" s="19">
        <v>44</v>
      </c>
      <c r="K267" s="1" t="s">
        <v>375</v>
      </c>
      <c r="L267" s="2" t="s">
        <v>439</v>
      </c>
      <c r="M267" s="19">
        <v>2007</v>
      </c>
      <c r="N267" s="1" t="s">
        <v>434</v>
      </c>
      <c r="O267" s="19">
        <v>1786</v>
      </c>
      <c r="P267" s="1" t="s">
        <v>18</v>
      </c>
      <c r="Q267" s="19">
        <v>3</v>
      </c>
      <c r="R267" s="19">
        <v>2</v>
      </c>
      <c r="S267" s="19">
        <v>25</v>
      </c>
      <c r="T267" s="14">
        <v>102500</v>
      </c>
      <c r="U267" s="14">
        <v>108000</v>
      </c>
      <c r="V267" s="14">
        <v>55000</v>
      </c>
      <c r="W267" s="4">
        <f t="shared" si="12"/>
        <v>5.3658536585365853E-2</v>
      </c>
      <c r="Z267" s="11">
        <f t="shared" si="13"/>
        <v>0.5092592592592593</v>
      </c>
      <c r="AA267" s="19">
        <f t="shared" si="14"/>
        <v>53000</v>
      </c>
    </row>
    <row r="268" spans="2:27" x14ac:dyDescent="0.45">
      <c r="B268" s="7">
        <v>894</v>
      </c>
      <c r="C268" s="1" t="s">
        <v>95</v>
      </c>
      <c r="D268" s="1" t="s">
        <v>781</v>
      </c>
      <c r="E268" s="1" t="s">
        <v>807</v>
      </c>
      <c r="F268" s="1" t="s">
        <v>805</v>
      </c>
      <c r="G268" s="19">
        <v>4</v>
      </c>
      <c r="H268" s="19">
        <v>52</v>
      </c>
      <c r="I268" s="19">
        <v>46</v>
      </c>
      <c r="J268" s="19">
        <v>42</v>
      </c>
      <c r="K268" s="1" t="s">
        <v>351</v>
      </c>
      <c r="L268" s="2" t="s">
        <v>439</v>
      </c>
      <c r="M268" s="19">
        <v>2003</v>
      </c>
      <c r="N268" s="1" t="s">
        <v>434</v>
      </c>
      <c r="O268" s="19">
        <v>1378</v>
      </c>
      <c r="P268" s="1" t="s">
        <v>18</v>
      </c>
      <c r="Q268" s="19">
        <v>3</v>
      </c>
      <c r="R268" s="19">
        <v>1</v>
      </c>
      <c r="S268" s="19">
        <v>25</v>
      </c>
      <c r="T268" s="14">
        <v>89000</v>
      </c>
      <c r="U268" s="14">
        <v>108000</v>
      </c>
      <c r="V268" s="14">
        <v>60000</v>
      </c>
      <c r="W268" s="4">
        <f t="shared" si="12"/>
        <v>0.21348314606741572</v>
      </c>
      <c r="Z268" s="11">
        <f t="shared" si="13"/>
        <v>0.55555555555555558</v>
      </c>
      <c r="AA268" s="19">
        <f t="shared" si="14"/>
        <v>48000</v>
      </c>
    </row>
    <row r="269" spans="2:27" x14ac:dyDescent="0.45">
      <c r="B269" s="7">
        <v>1312</v>
      </c>
      <c r="C269" s="1" t="s">
        <v>2</v>
      </c>
      <c r="D269" s="1" t="s">
        <v>899</v>
      </c>
      <c r="E269" s="1" t="s">
        <v>921</v>
      </c>
      <c r="F269" s="1" t="s">
        <v>918</v>
      </c>
      <c r="G269" s="19">
        <v>7</v>
      </c>
      <c r="H269" s="19">
        <v>50</v>
      </c>
      <c r="I269" s="19">
        <v>25</v>
      </c>
      <c r="J269" s="19">
        <v>32</v>
      </c>
      <c r="K269" s="1" t="s">
        <v>139</v>
      </c>
      <c r="L269" s="2" t="s">
        <v>439</v>
      </c>
      <c r="M269" s="19">
        <v>2005</v>
      </c>
      <c r="N269" s="1" t="s">
        <v>447</v>
      </c>
      <c r="O269" s="19">
        <v>503</v>
      </c>
      <c r="P269" s="1" t="s">
        <v>18</v>
      </c>
      <c r="Q269" s="19">
        <v>3</v>
      </c>
      <c r="R269" s="19">
        <v>2</v>
      </c>
      <c r="S269" s="19">
        <v>33</v>
      </c>
      <c r="T269" s="14">
        <v>121900</v>
      </c>
      <c r="U269" s="14">
        <v>108000</v>
      </c>
      <c r="V269" s="14">
        <v>62000</v>
      </c>
      <c r="W269" s="4">
        <f t="shared" si="12"/>
        <v>-0.1140278917145201</v>
      </c>
      <c r="Z269" s="11">
        <f t="shared" si="13"/>
        <v>0.57407407407407407</v>
      </c>
      <c r="AA269" s="19">
        <f t="shared" si="14"/>
        <v>46000</v>
      </c>
    </row>
    <row r="270" spans="2:27" x14ac:dyDescent="0.45">
      <c r="B270" s="7">
        <v>1339</v>
      </c>
      <c r="C270" s="1" t="s">
        <v>901</v>
      </c>
      <c r="D270" s="1" t="s">
        <v>899</v>
      </c>
      <c r="E270" s="1" t="s">
        <v>927</v>
      </c>
      <c r="F270" s="1" t="s">
        <v>925</v>
      </c>
      <c r="G270" s="19">
        <v>7</v>
      </c>
      <c r="H270" s="19">
        <v>55</v>
      </c>
      <c r="I270" s="19">
        <v>25</v>
      </c>
      <c r="J270" s="19">
        <v>35</v>
      </c>
      <c r="K270" s="1" t="s">
        <v>928</v>
      </c>
      <c r="L270" s="2" t="s">
        <v>439</v>
      </c>
      <c r="M270" s="19">
        <v>2000</v>
      </c>
      <c r="N270" s="1" t="s">
        <v>434</v>
      </c>
      <c r="O270" s="19">
        <v>1114</v>
      </c>
      <c r="P270" s="1" t="s">
        <v>18</v>
      </c>
      <c r="Q270" s="19">
        <v>3</v>
      </c>
      <c r="R270" s="19">
        <v>2</v>
      </c>
      <c r="S270" s="19">
        <v>33</v>
      </c>
      <c r="T270" s="14">
        <v>109000</v>
      </c>
      <c r="U270" s="14">
        <v>108000</v>
      </c>
      <c r="V270" s="14">
        <v>60000</v>
      </c>
      <c r="W270" s="4">
        <f t="shared" si="12"/>
        <v>-9.1743119266055051E-3</v>
      </c>
      <c r="Z270" s="11">
        <f t="shared" si="13"/>
        <v>0.55555555555555558</v>
      </c>
      <c r="AA270" s="19">
        <f t="shared" si="14"/>
        <v>48000</v>
      </c>
    </row>
    <row r="271" spans="2:27" x14ac:dyDescent="0.45">
      <c r="B271" s="7">
        <v>2235</v>
      </c>
      <c r="C271" s="1" t="s">
        <v>226</v>
      </c>
      <c r="D271" s="1" t="s">
        <v>1150</v>
      </c>
      <c r="E271" s="1" t="s">
        <v>1177</v>
      </c>
      <c r="F271" s="1" t="s">
        <v>1175</v>
      </c>
      <c r="G271" s="19">
        <v>3</v>
      </c>
      <c r="H271" s="19">
        <v>52</v>
      </c>
      <c r="I271" s="19">
        <v>48</v>
      </c>
      <c r="J271" s="19">
        <v>28</v>
      </c>
      <c r="K271" s="2" t="s">
        <v>1178</v>
      </c>
      <c r="L271" s="2" t="s">
        <v>453</v>
      </c>
      <c r="M271" s="19">
        <v>2018</v>
      </c>
      <c r="N271" s="1" t="s">
        <v>447</v>
      </c>
      <c r="O271" s="19">
        <v>588</v>
      </c>
      <c r="P271" s="1" t="s">
        <v>18</v>
      </c>
      <c r="Q271" s="19">
        <v>3</v>
      </c>
      <c r="R271" s="19">
        <v>2</v>
      </c>
      <c r="S271" s="19">
        <v>33</v>
      </c>
      <c r="T271" s="14">
        <v>119000</v>
      </c>
      <c r="U271" s="14">
        <v>108000</v>
      </c>
      <c r="V271" s="14">
        <v>65000</v>
      </c>
      <c r="W271" s="4">
        <f t="shared" si="12"/>
        <v>-9.2436974789915971E-2</v>
      </c>
      <c r="Z271" s="11">
        <f t="shared" si="13"/>
        <v>0.60185185185185186</v>
      </c>
      <c r="AA271" s="19">
        <f t="shared" si="14"/>
        <v>43000</v>
      </c>
    </row>
    <row r="272" spans="2:27" x14ac:dyDescent="0.45">
      <c r="B272" s="7">
        <v>2270</v>
      </c>
      <c r="C272" s="1" t="s">
        <v>44</v>
      </c>
      <c r="D272" s="1" t="s">
        <v>1182</v>
      </c>
      <c r="E272" s="1" t="s">
        <v>1189</v>
      </c>
      <c r="F272" s="1" t="s">
        <v>1190</v>
      </c>
      <c r="G272" s="19">
        <v>3</v>
      </c>
      <c r="H272" s="19">
        <v>45</v>
      </c>
      <c r="I272" s="19">
        <v>35</v>
      </c>
      <c r="J272" s="19">
        <v>10</v>
      </c>
      <c r="K272" s="1" t="s">
        <v>358</v>
      </c>
      <c r="L272" s="2" t="s">
        <v>439</v>
      </c>
      <c r="M272" s="19">
        <v>2008</v>
      </c>
      <c r="N272" s="1" t="s">
        <v>447</v>
      </c>
      <c r="O272" s="19">
        <v>810</v>
      </c>
      <c r="P272" s="1" t="s">
        <v>18</v>
      </c>
      <c r="Q272" s="19">
        <v>3</v>
      </c>
      <c r="R272" s="19">
        <v>2</v>
      </c>
      <c r="S272" s="19">
        <v>25</v>
      </c>
      <c r="T272" s="14">
        <v>115000</v>
      </c>
      <c r="U272" s="14">
        <v>108000</v>
      </c>
      <c r="V272" s="14">
        <v>62000</v>
      </c>
      <c r="W272" s="4">
        <f t="shared" si="12"/>
        <v>-6.0869565217391307E-2</v>
      </c>
      <c r="Z272" s="11">
        <f t="shared" si="13"/>
        <v>0.57407407407407407</v>
      </c>
      <c r="AA272" s="19">
        <f t="shared" si="14"/>
        <v>46000</v>
      </c>
    </row>
    <row r="273" spans="2:27" x14ac:dyDescent="0.45">
      <c r="B273" s="7">
        <v>2107</v>
      </c>
      <c r="C273" s="1" t="s">
        <v>391</v>
      </c>
      <c r="D273" s="1" t="s">
        <v>1150</v>
      </c>
      <c r="E273" s="1" t="s">
        <v>1151</v>
      </c>
      <c r="F273" s="1" t="s">
        <v>1152</v>
      </c>
      <c r="G273" s="19">
        <v>9</v>
      </c>
      <c r="H273" s="19">
        <v>55</v>
      </c>
      <c r="I273" s="19">
        <v>45</v>
      </c>
      <c r="J273" s="19">
        <v>30</v>
      </c>
      <c r="K273" s="2" t="s">
        <v>393</v>
      </c>
      <c r="L273" s="2" t="s">
        <v>453</v>
      </c>
      <c r="M273" s="19">
        <v>2019</v>
      </c>
      <c r="N273" s="1" t="s">
        <v>440</v>
      </c>
      <c r="O273" s="19">
        <v>361</v>
      </c>
      <c r="P273" s="1" t="s">
        <v>18</v>
      </c>
      <c r="Q273" s="19">
        <v>3</v>
      </c>
      <c r="R273" s="19">
        <v>2</v>
      </c>
      <c r="S273" s="19">
        <v>35</v>
      </c>
      <c r="T273" s="14">
        <v>129300</v>
      </c>
      <c r="U273" s="14">
        <v>109000</v>
      </c>
      <c r="V273" s="14">
        <v>85000</v>
      </c>
      <c r="W273" s="4">
        <f t="shared" si="12"/>
        <v>-0.15699922660479504</v>
      </c>
      <c r="Z273" s="11">
        <f t="shared" si="13"/>
        <v>0.77981651376146788</v>
      </c>
      <c r="AA273" s="19">
        <f t="shared" si="14"/>
        <v>24000</v>
      </c>
    </row>
    <row r="274" spans="2:27" x14ac:dyDescent="0.45">
      <c r="B274" s="7">
        <v>273</v>
      </c>
      <c r="C274" s="1" t="s">
        <v>6</v>
      </c>
      <c r="D274" s="1" t="s">
        <v>508</v>
      </c>
      <c r="E274" s="1" t="s">
        <v>531</v>
      </c>
      <c r="F274" s="1" t="s">
        <v>532</v>
      </c>
      <c r="G274" s="19">
        <v>5</v>
      </c>
      <c r="H274" s="19">
        <v>60</v>
      </c>
      <c r="I274" s="19">
        <v>65</v>
      </c>
      <c r="J274" s="19">
        <v>60</v>
      </c>
      <c r="K274" s="1" t="s">
        <v>533</v>
      </c>
      <c r="L274" s="2" t="s">
        <v>439</v>
      </c>
      <c r="M274" s="19">
        <v>2011</v>
      </c>
      <c r="N274" s="1" t="s">
        <v>434</v>
      </c>
      <c r="O274" s="19">
        <v>2283</v>
      </c>
      <c r="P274" s="1" t="s">
        <v>5</v>
      </c>
      <c r="Q274" s="19">
        <v>3</v>
      </c>
      <c r="R274" s="19">
        <v>2</v>
      </c>
      <c r="S274" s="19">
        <v>25</v>
      </c>
      <c r="T274" s="14">
        <v>98000</v>
      </c>
      <c r="U274" s="14">
        <v>110000</v>
      </c>
      <c r="V274" s="14">
        <v>65000</v>
      </c>
      <c r="W274" s="4">
        <f t="shared" si="12"/>
        <v>0.12244897959183673</v>
      </c>
      <c r="Z274" s="11">
        <f t="shared" si="13"/>
        <v>0.59090909090909094</v>
      </c>
      <c r="AA274" s="19">
        <f t="shared" si="14"/>
        <v>45000</v>
      </c>
    </row>
    <row r="275" spans="2:27" x14ac:dyDescent="0.45">
      <c r="B275" s="7">
        <v>516</v>
      </c>
      <c r="C275" s="1" t="s">
        <v>26</v>
      </c>
      <c r="D275" s="1" t="s">
        <v>555</v>
      </c>
      <c r="E275" s="1" t="s">
        <v>592</v>
      </c>
      <c r="F275" s="1" t="s">
        <v>593</v>
      </c>
      <c r="G275" s="19">
        <v>5</v>
      </c>
      <c r="H275" s="19">
        <v>46</v>
      </c>
      <c r="I275" s="19">
        <v>24</v>
      </c>
      <c r="J275" s="19">
        <v>36</v>
      </c>
      <c r="K275" s="2" t="s">
        <v>130</v>
      </c>
      <c r="L275" s="2" t="s">
        <v>439</v>
      </c>
      <c r="M275" s="19">
        <v>2004</v>
      </c>
      <c r="N275" s="1" t="s">
        <v>434</v>
      </c>
      <c r="O275" s="19">
        <v>1653</v>
      </c>
      <c r="P275" s="1" t="s">
        <v>18</v>
      </c>
      <c r="Q275" s="19">
        <v>3</v>
      </c>
      <c r="R275" s="19">
        <v>2</v>
      </c>
      <c r="S275" s="19">
        <v>32</v>
      </c>
      <c r="T275" s="14">
        <v>129500</v>
      </c>
      <c r="U275" s="14">
        <v>110000</v>
      </c>
      <c r="V275" s="14">
        <v>63000</v>
      </c>
      <c r="W275" s="4">
        <f t="shared" si="12"/>
        <v>-0.15057915057915058</v>
      </c>
      <c r="Z275" s="11">
        <f t="shared" si="13"/>
        <v>0.57272727272727275</v>
      </c>
      <c r="AA275" s="19">
        <f t="shared" si="14"/>
        <v>47000</v>
      </c>
    </row>
    <row r="276" spans="2:27" x14ac:dyDescent="0.45">
      <c r="B276" s="7">
        <v>530</v>
      </c>
      <c r="C276" s="1" t="s">
        <v>26</v>
      </c>
      <c r="D276" s="1" t="s">
        <v>555</v>
      </c>
      <c r="E276" s="1" t="s">
        <v>596</v>
      </c>
      <c r="F276" s="1" t="s">
        <v>588</v>
      </c>
      <c r="G276" s="19">
        <v>8</v>
      </c>
      <c r="H276" s="19">
        <v>44</v>
      </c>
      <c r="I276" s="19">
        <v>18</v>
      </c>
      <c r="J276" s="19">
        <v>31</v>
      </c>
      <c r="K276" s="2" t="s">
        <v>127</v>
      </c>
      <c r="L276" s="2" t="s">
        <v>453</v>
      </c>
      <c r="M276" s="19">
        <v>2022</v>
      </c>
      <c r="N276" s="1" t="s">
        <v>440</v>
      </c>
      <c r="O276" s="19">
        <v>220</v>
      </c>
      <c r="P276" s="1" t="s">
        <v>18</v>
      </c>
      <c r="Q276" s="19">
        <v>3</v>
      </c>
      <c r="R276" s="19">
        <v>2</v>
      </c>
      <c r="S276" s="19">
        <v>25</v>
      </c>
      <c r="T276" s="14">
        <v>0</v>
      </c>
      <c r="U276" s="14">
        <v>110000</v>
      </c>
      <c r="V276" s="14">
        <v>63000</v>
      </c>
      <c r="W276" s="4" t="e">
        <f t="shared" si="12"/>
        <v>#DIV/0!</v>
      </c>
      <c r="Z276" s="11">
        <f t="shared" si="13"/>
        <v>0.57272727272727275</v>
      </c>
      <c r="AA276" s="19">
        <f t="shared" si="14"/>
        <v>47000</v>
      </c>
    </row>
    <row r="277" spans="2:27" x14ac:dyDescent="0.45">
      <c r="B277" s="7">
        <v>539</v>
      </c>
      <c r="C277" s="1" t="s">
        <v>86</v>
      </c>
      <c r="D277" s="1" t="s">
        <v>555</v>
      </c>
      <c r="E277" s="1" t="s">
        <v>598</v>
      </c>
      <c r="F277" s="1" t="s">
        <v>597</v>
      </c>
      <c r="G277" s="19">
        <v>2</v>
      </c>
      <c r="H277" s="19">
        <v>54</v>
      </c>
      <c r="I277" s="19">
        <v>27</v>
      </c>
      <c r="J277" s="19">
        <v>41</v>
      </c>
      <c r="K277" s="2" t="s">
        <v>599</v>
      </c>
      <c r="L277" s="2" t="s">
        <v>439</v>
      </c>
      <c r="M277" s="19">
        <v>2008</v>
      </c>
      <c r="N277" s="1" t="s">
        <v>447</v>
      </c>
      <c r="O277" s="19">
        <v>919</v>
      </c>
      <c r="P277" s="1" t="s">
        <v>18</v>
      </c>
      <c r="Q277" s="19">
        <v>3</v>
      </c>
      <c r="R277" s="19">
        <v>2</v>
      </c>
      <c r="S277" s="19">
        <v>24</v>
      </c>
      <c r="T277" s="14">
        <v>94000</v>
      </c>
      <c r="U277" s="14">
        <v>110000</v>
      </c>
      <c r="V277" s="14">
        <v>53000</v>
      </c>
      <c r="W277" s="4">
        <f t="shared" si="12"/>
        <v>0.1702127659574468</v>
      </c>
      <c r="Z277" s="11">
        <f t="shared" si="13"/>
        <v>0.48181818181818181</v>
      </c>
      <c r="AA277" s="19">
        <f t="shared" si="14"/>
        <v>57000</v>
      </c>
    </row>
    <row r="278" spans="2:27" x14ac:dyDescent="0.45">
      <c r="B278" s="7">
        <v>574</v>
      </c>
      <c r="C278" s="1" t="s">
        <v>15</v>
      </c>
      <c r="D278" s="1" t="s">
        <v>607</v>
      </c>
      <c r="E278" s="1" t="s">
        <v>608</v>
      </c>
      <c r="F278" s="1" t="s">
        <v>609</v>
      </c>
      <c r="G278" s="19">
        <v>3</v>
      </c>
      <c r="H278" s="19">
        <v>22</v>
      </c>
      <c r="I278" s="19">
        <v>25</v>
      </c>
      <c r="J278" s="19">
        <v>35</v>
      </c>
      <c r="K278" s="1" t="s">
        <v>429</v>
      </c>
      <c r="L278" s="2" t="s">
        <v>453</v>
      </c>
      <c r="M278" s="19">
        <v>2022</v>
      </c>
      <c r="N278" s="1" t="s">
        <v>434</v>
      </c>
      <c r="O278" s="19">
        <v>1143</v>
      </c>
      <c r="P278" s="1" t="s">
        <v>18</v>
      </c>
      <c r="Q278" s="19">
        <v>2</v>
      </c>
      <c r="R278" s="19">
        <v>1</v>
      </c>
      <c r="S278" s="19">
        <v>20</v>
      </c>
      <c r="T278" s="14">
        <v>0</v>
      </c>
      <c r="U278" s="14">
        <v>110000</v>
      </c>
      <c r="V278" s="14">
        <v>45000</v>
      </c>
      <c r="W278" s="4" t="e">
        <f t="shared" si="12"/>
        <v>#DIV/0!</v>
      </c>
      <c r="Z278" s="11">
        <f t="shared" si="13"/>
        <v>0.40909090909090912</v>
      </c>
      <c r="AA278" s="19">
        <f t="shared" si="14"/>
        <v>65000</v>
      </c>
    </row>
    <row r="279" spans="2:27" x14ac:dyDescent="0.45">
      <c r="B279" s="7">
        <v>593</v>
      </c>
      <c r="C279" s="1" t="s">
        <v>58</v>
      </c>
      <c r="D279" s="1" t="s">
        <v>607</v>
      </c>
      <c r="E279" s="1" t="s">
        <v>610</v>
      </c>
      <c r="F279" s="1" t="s">
        <v>611</v>
      </c>
      <c r="G279" s="19">
        <v>6</v>
      </c>
      <c r="H279" s="19">
        <v>28</v>
      </c>
      <c r="I279" s="19">
        <v>35</v>
      </c>
      <c r="J279" s="19">
        <v>35</v>
      </c>
      <c r="K279" s="1" t="s">
        <v>61</v>
      </c>
      <c r="L279" s="2" t="s">
        <v>439</v>
      </c>
      <c r="M279" s="19">
        <v>2004</v>
      </c>
      <c r="N279" s="1" t="s">
        <v>434</v>
      </c>
      <c r="O279" s="19">
        <v>2104</v>
      </c>
      <c r="P279" s="1" t="s">
        <v>5</v>
      </c>
      <c r="Q279" s="19">
        <v>3</v>
      </c>
      <c r="R279" s="19">
        <v>1</v>
      </c>
      <c r="S279" s="19">
        <v>25</v>
      </c>
      <c r="T279" s="14">
        <v>94000</v>
      </c>
      <c r="U279" s="14">
        <v>110000</v>
      </c>
      <c r="V279" s="14">
        <v>47000</v>
      </c>
      <c r="W279" s="4">
        <f t="shared" si="12"/>
        <v>0.1702127659574468</v>
      </c>
      <c r="Z279" s="11">
        <f t="shared" si="13"/>
        <v>0.42727272727272725</v>
      </c>
      <c r="AA279" s="19">
        <f t="shared" si="14"/>
        <v>63000</v>
      </c>
    </row>
    <row r="280" spans="2:27" x14ac:dyDescent="0.45">
      <c r="B280" s="7">
        <v>605</v>
      </c>
      <c r="C280" s="1" t="s">
        <v>58</v>
      </c>
      <c r="D280" s="1" t="s">
        <v>607</v>
      </c>
      <c r="E280" s="1" t="s">
        <v>621</v>
      </c>
      <c r="F280" s="1" t="s">
        <v>616</v>
      </c>
      <c r="G280" s="19">
        <v>4</v>
      </c>
      <c r="H280" s="19">
        <v>28</v>
      </c>
      <c r="I280" s="19">
        <v>35</v>
      </c>
      <c r="J280" s="19">
        <v>33</v>
      </c>
      <c r="K280" s="1" t="s">
        <v>622</v>
      </c>
      <c r="L280" s="2" t="s">
        <v>439</v>
      </c>
      <c r="M280" s="19">
        <v>2004</v>
      </c>
      <c r="N280" s="1" t="s">
        <v>440</v>
      </c>
      <c r="O280" s="19">
        <v>487</v>
      </c>
      <c r="P280" s="1" t="s">
        <v>18</v>
      </c>
      <c r="Q280" s="19">
        <v>3</v>
      </c>
      <c r="R280" s="19">
        <v>1</v>
      </c>
      <c r="S280" s="19">
        <v>25</v>
      </c>
      <c r="T280" s="14">
        <v>97800</v>
      </c>
      <c r="U280" s="14">
        <v>110000</v>
      </c>
      <c r="V280" s="14">
        <v>52000</v>
      </c>
      <c r="W280" s="4">
        <f t="shared" si="12"/>
        <v>0.12474437627811862</v>
      </c>
      <c r="Z280" s="11">
        <f t="shared" si="13"/>
        <v>0.47272727272727272</v>
      </c>
      <c r="AA280" s="19">
        <f t="shared" si="14"/>
        <v>58000</v>
      </c>
    </row>
    <row r="281" spans="2:27" x14ac:dyDescent="0.45">
      <c r="B281" s="7">
        <v>693</v>
      </c>
      <c r="C281" s="1" t="s">
        <v>35</v>
      </c>
      <c r="D281" s="1" t="s">
        <v>652</v>
      </c>
      <c r="E281" s="1" t="s">
        <v>667</v>
      </c>
      <c r="F281" s="1" t="s">
        <v>666</v>
      </c>
      <c r="G281" s="19">
        <v>5</v>
      </c>
      <c r="H281" s="19">
        <v>38</v>
      </c>
      <c r="I281" s="19">
        <v>18</v>
      </c>
      <c r="J281" s="19">
        <v>28</v>
      </c>
      <c r="K281" s="1" t="s">
        <v>301</v>
      </c>
      <c r="L281" s="2" t="s">
        <v>433</v>
      </c>
      <c r="M281" s="19">
        <v>1999</v>
      </c>
      <c r="N281" s="1" t="s">
        <v>440</v>
      </c>
      <c r="O281" s="19">
        <v>260</v>
      </c>
      <c r="P281" s="5" t="s">
        <v>18</v>
      </c>
      <c r="Q281" s="18">
        <v>3</v>
      </c>
      <c r="R281" s="19">
        <v>2</v>
      </c>
      <c r="S281" s="18">
        <v>33</v>
      </c>
      <c r="T281" s="14">
        <v>114000</v>
      </c>
      <c r="U281" s="14">
        <v>110000</v>
      </c>
      <c r="V281" s="14">
        <v>52000</v>
      </c>
      <c r="W281" s="4">
        <f t="shared" si="12"/>
        <v>-3.5087719298245612E-2</v>
      </c>
      <c r="Z281" s="11">
        <f t="shared" si="13"/>
        <v>0.47272727272727272</v>
      </c>
      <c r="AA281" s="19">
        <f t="shared" si="14"/>
        <v>58000</v>
      </c>
    </row>
    <row r="282" spans="2:27" x14ac:dyDescent="0.45">
      <c r="B282" s="7">
        <v>702</v>
      </c>
      <c r="C282" s="1" t="s">
        <v>33</v>
      </c>
      <c r="D282" s="1" t="s">
        <v>652</v>
      </c>
      <c r="E282" s="1" t="s">
        <v>673</v>
      </c>
      <c r="F282" s="1" t="s">
        <v>674</v>
      </c>
      <c r="G282" s="19">
        <v>4</v>
      </c>
      <c r="H282" s="19">
        <v>45</v>
      </c>
      <c r="I282" s="19">
        <v>20</v>
      </c>
      <c r="J282" s="19">
        <v>35</v>
      </c>
      <c r="K282" s="1" t="s">
        <v>675</v>
      </c>
      <c r="L282" s="2" t="s">
        <v>433</v>
      </c>
      <c r="M282" s="19">
        <v>1986</v>
      </c>
      <c r="N282" s="1" t="s">
        <v>434</v>
      </c>
      <c r="O282" s="19">
        <v>2126</v>
      </c>
      <c r="P282" s="5" t="s">
        <v>18</v>
      </c>
      <c r="Q282" s="18">
        <v>3</v>
      </c>
      <c r="R282" s="19">
        <v>1</v>
      </c>
      <c r="S282" s="18">
        <v>33</v>
      </c>
      <c r="T282" s="14">
        <v>112000</v>
      </c>
      <c r="U282" s="14">
        <v>110000</v>
      </c>
      <c r="V282" s="14">
        <v>36000</v>
      </c>
      <c r="W282" s="4">
        <f t="shared" si="12"/>
        <v>-1.7857142857142856E-2</v>
      </c>
      <c r="Z282" s="11">
        <f t="shared" si="13"/>
        <v>0.32727272727272727</v>
      </c>
      <c r="AA282" s="19">
        <f t="shared" si="14"/>
        <v>74000</v>
      </c>
    </row>
    <row r="283" spans="2:27" x14ac:dyDescent="0.45">
      <c r="B283" s="7">
        <v>709</v>
      </c>
      <c r="C283" s="1" t="s">
        <v>52</v>
      </c>
      <c r="D283" s="1" t="s">
        <v>652</v>
      </c>
      <c r="E283" s="1" t="s">
        <v>680</v>
      </c>
      <c r="F283" s="1" t="s">
        <v>681</v>
      </c>
      <c r="G283" s="19">
        <v>5</v>
      </c>
      <c r="H283" s="19">
        <v>52</v>
      </c>
      <c r="I283" s="19">
        <v>32</v>
      </c>
      <c r="J283" s="19">
        <v>45</v>
      </c>
      <c r="K283" s="1" t="s">
        <v>53</v>
      </c>
      <c r="L283" s="2" t="s">
        <v>439</v>
      </c>
      <c r="M283" s="19">
        <v>2009</v>
      </c>
      <c r="N283" s="1" t="s">
        <v>447</v>
      </c>
      <c r="O283" s="19">
        <v>662</v>
      </c>
      <c r="P283" s="5" t="s">
        <v>18</v>
      </c>
      <c r="Q283" s="18">
        <v>3</v>
      </c>
      <c r="R283" s="19">
        <v>2</v>
      </c>
      <c r="S283" s="18">
        <v>33</v>
      </c>
      <c r="T283" s="14">
        <v>112000</v>
      </c>
      <c r="U283" s="14">
        <v>110000</v>
      </c>
      <c r="V283" s="14">
        <v>63000</v>
      </c>
      <c r="W283" s="4">
        <f t="shared" si="12"/>
        <v>-1.7857142857142856E-2</v>
      </c>
      <c r="Z283" s="11">
        <f t="shared" si="13"/>
        <v>0.57272727272727275</v>
      </c>
      <c r="AA283" s="19">
        <f t="shared" si="14"/>
        <v>47000</v>
      </c>
    </row>
    <row r="284" spans="2:27" x14ac:dyDescent="0.45">
      <c r="B284" s="7">
        <v>713</v>
      </c>
      <c r="C284" s="1" t="s">
        <v>33</v>
      </c>
      <c r="D284" s="1" t="s">
        <v>652</v>
      </c>
      <c r="E284" s="1" t="s">
        <v>683</v>
      </c>
      <c r="F284" s="1" t="s">
        <v>684</v>
      </c>
      <c r="G284" s="19">
        <v>5</v>
      </c>
      <c r="H284" s="19">
        <v>48</v>
      </c>
      <c r="I284" s="19">
        <v>28</v>
      </c>
      <c r="J284" s="19">
        <v>41</v>
      </c>
      <c r="K284" s="1" t="s">
        <v>685</v>
      </c>
      <c r="L284" s="2" t="s">
        <v>439</v>
      </c>
      <c r="M284" s="19">
        <v>2004</v>
      </c>
      <c r="N284" s="1" t="s">
        <v>447</v>
      </c>
      <c r="O284" s="19">
        <v>600</v>
      </c>
      <c r="P284" s="5" t="s">
        <v>18</v>
      </c>
      <c r="Q284" s="18">
        <v>3</v>
      </c>
      <c r="R284" s="19">
        <v>2</v>
      </c>
      <c r="S284" s="18">
        <v>33</v>
      </c>
      <c r="T284" s="14">
        <v>108000</v>
      </c>
      <c r="U284" s="14">
        <v>110000</v>
      </c>
      <c r="V284" s="14">
        <v>56000</v>
      </c>
      <c r="W284" s="4">
        <f t="shared" si="12"/>
        <v>1.8518518518518517E-2</v>
      </c>
      <c r="Z284" s="11">
        <f t="shared" si="13"/>
        <v>0.50909090909090904</v>
      </c>
      <c r="AA284" s="19">
        <f t="shared" si="14"/>
        <v>54000</v>
      </c>
    </row>
    <row r="285" spans="2:27" x14ac:dyDescent="0.45">
      <c r="B285" s="7">
        <v>759</v>
      </c>
      <c r="C285" s="5" t="s">
        <v>242</v>
      </c>
      <c r="D285" s="5" t="s">
        <v>711</v>
      </c>
      <c r="E285" s="1" t="s">
        <v>732</v>
      </c>
      <c r="F285" s="1" t="s">
        <v>731</v>
      </c>
      <c r="G285" s="19">
        <v>8</v>
      </c>
      <c r="H285" s="19">
        <v>56</v>
      </c>
      <c r="I285" s="19">
        <v>46</v>
      </c>
      <c r="J285" s="19">
        <v>39</v>
      </c>
      <c r="K285" s="5" t="s">
        <v>340</v>
      </c>
      <c r="L285" s="2" t="s">
        <v>453</v>
      </c>
      <c r="M285" s="18">
        <v>2020</v>
      </c>
      <c r="N285" s="1" t="s">
        <v>447</v>
      </c>
      <c r="O285" s="18">
        <v>859</v>
      </c>
      <c r="P285" s="5" t="s">
        <v>18</v>
      </c>
      <c r="Q285" s="18">
        <v>3</v>
      </c>
      <c r="R285" s="18">
        <v>2</v>
      </c>
      <c r="S285" s="18">
        <v>33</v>
      </c>
      <c r="T285" s="14">
        <v>125000</v>
      </c>
      <c r="U285" s="14">
        <v>110000</v>
      </c>
      <c r="V285" s="14">
        <v>68000</v>
      </c>
      <c r="W285" s="4">
        <f t="shared" si="12"/>
        <v>-0.12</v>
      </c>
      <c r="Z285" s="11">
        <f t="shared" si="13"/>
        <v>0.61818181818181817</v>
      </c>
      <c r="AA285" s="19">
        <f t="shared" si="14"/>
        <v>42000</v>
      </c>
    </row>
    <row r="286" spans="2:27" x14ac:dyDescent="0.45">
      <c r="B286" s="7">
        <v>893</v>
      </c>
      <c r="C286" s="1" t="s">
        <v>95</v>
      </c>
      <c r="D286" s="1" t="s">
        <v>781</v>
      </c>
      <c r="E286" s="1" t="s">
        <v>807</v>
      </c>
      <c r="F286" s="1" t="s">
        <v>805</v>
      </c>
      <c r="G286" s="19">
        <v>4</v>
      </c>
      <c r="H286" s="19">
        <v>52</v>
      </c>
      <c r="I286" s="19">
        <v>46</v>
      </c>
      <c r="J286" s="19">
        <v>42</v>
      </c>
      <c r="K286" s="1" t="s">
        <v>351</v>
      </c>
      <c r="L286" s="2" t="s">
        <v>439</v>
      </c>
      <c r="M286" s="19">
        <v>2003</v>
      </c>
      <c r="N286" s="1" t="s">
        <v>434</v>
      </c>
      <c r="O286" s="19">
        <v>1378</v>
      </c>
      <c r="P286" s="1" t="s">
        <v>18</v>
      </c>
      <c r="Q286" s="19">
        <v>3</v>
      </c>
      <c r="R286" s="19">
        <v>2</v>
      </c>
      <c r="S286" s="19">
        <v>33</v>
      </c>
      <c r="T286" s="14">
        <v>111000</v>
      </c>
      <c r="U286" s="14">
        <v>110000</v>
      </c>
      <c r="V286" s="14">
        <v>60000</v>
      </c>
      <c r="W286" s="4">
        <f t="shared" si="12"/>
        <v>-9.0090090090090089E-3</v>
      </c>
      <c r="Z286" s="11">
        <f t="shared" si="13"/>
        <v>0.54545454545454541</v>
      </c>
      <c r="AA286" s="19">
        <f t="shared" si="14"/>
        <v>50000</v>
      </c>
    </row>
    <row r="287" spans="2:27" x14ac:dyDescent="0.45">
      <c r="B287" s="7">
        <v>1259</v>
      </c>
      <c r="C287" s="1" t="s">
        <v>2</v>
      </c>
      <c r="D287" s="1" t="s">
        <v>899</v>
      </c>
      <c r="E287" s="1" t="s">
        <v>905</v>
      </c>
      <c r="F287" s="1" t="s">
        <v>904</v>
      </c>
      <c r="G287" s="19">
        <v>5</v>
      </c>
      <c r="H287" s="19">
        <v>45</v>
      </c>
      <c r="I287" s="19">
        <v>32</v>
      </c>
      <c r="J287" s="19">
        <v>15</v>
      </c>
      <c r="K287" s="1" t="s">
        <v>417</v>
      </c>
      <c r="L287" s="2" t="s">
        <v>453</v>
      </c>
      <c r="M287" s="19">
        <v>2021</v>
      </c>
      <c r="N287" s="1" t="s">
        <v>434</v>
      </c>
      <c r="O287" s="19">
        <v>1116</v>
      </c>
      <c r="P287" s="1" t="s">
        <v>18</v>
      </c>
      <c r="Q287" s="19">
        <v>2</v>
      </c>
      <c r="R287" s="19">
        <v>1</v>
      </c>
      <c r="S287" s="19">
        <v>21</v>
      </c>
      <c r="T287" s="14">
        <v>0</v>
      </c>
      <c r="U287" s="14">
        <v>110000</v>
      </c>
      <c r="V287" s="14">
        <v>53000</v>
      </c>
      <c r="W287" s="4" t="e">
        <f t="shared" si="12"/>
        <v>#DIV/0!</v>
      </c>
      <c r="Z287" s="11">
        <f t="shared" si="13"/>
        <v>0.48181818181818181</v>
      </c>
      <c r="AA287" s="19">
        <f t="shared" si="14"/>
        <v>57000</v>
      </c>
    </row>
    <row r="288" spans="2:27" x14ac:dyDescent="0.45">
      <c r="B288" s="7">
        <v>1659</v>
      </c>
      <c r="C288" s="1" t="s">
        <v>77</v>
      </c>
      <c r="D288" s="1" t="s">
        <v>998</v>
      </c>
      <c r="E288" s="1" t="s">
        <v>1021</v>
      </c>
      <c r="F288" s="1" t="s">
        <v>1012</v>
      </c>
      <c r="G288" s="19">
        <v>4</v>
      </c>
      <c r="H288" s="19">
        <v>45</v>
      </c>
      <c r="I288" s="19">
        <v>42</v>
      </c>
      <c r="J288" s="19">
        <v>35</v>
      </c>
      <c r="K288" s="6" t="s">
        <v>142</v>
      </c>
      <c r="L288" s="2" t="s">
        <v>439</v>
      </c>
      <c r="M288" s="19">
        <v>2011</v>
      </c>
      <c r="N288" s="1" t="s">
        <v>434</v>
      </c>
      <c r="O288" s="19">
        <v>1025</v>
      </c>
      <c r="P288" s="1" t="s">
        <v>18</v>
      </c>
      <c r="Q288" s="19">
        <v>3</v>
      </c>
      <c r="R288" s="19">
        <v>2</v>
      </c>
      <c r="S288" s="19">
        <v>25</v>
      </c>
      <c r="T288" s="14">
        <v>111000</v>
      </c>
      <c r="U288" s="14">
        <v>110000</v>
      </c>
      <c r="V288" s="14">
        <v>59000</v>
      </c>
      <c r="W288" s="4">
        <f t="shared" si="12"/>
        <v>-9.0090090090090089E-3</v>
      </c>
      <c r="Z288" s="11">
        <f t="shared" si="13"/>
        <v>0.53636363636363638</v>
      </c>
      <c r="AA288" s="19">
        <f t="shared" si="14"/>
        <v>51000</v>
      </c>
    </row>
    <row r="289" spans="2:27" x14ac:dyDescent="0.45">
      <c r="B289" s="7">
        <v>1696</v>
      </c>
      <c r="C289" s="1" t="s">
        <v>77</v>
      </c>
      <c r="D289" s="1" t="s">
        <v>998</v>
      </c>
      <c r="E289" s="1" t="s">
        <v>1027</v>
      </c>
      <c r="F289" s="1" t="s">
        <v>1001</v>
      </c>
      <c r="G289" s="19">
        <v>6</v>
      </c>
      <c r="H289" s="19">
        <v>45</v>
      </c>
      <c r="I289" s="19">
        <v>42</v>
      </c>
      <c r="J289" s="19">
        <v>30</v>
      </c>
      <c r="K289" s="1" t="s">
        <v>82</v>
      </c>
      <c r="L289" s="2" t="s">
        <v>453</v>
      </c>
      <c r="M289" s="19">
        <v>2016</v>
      </c>
      <c r="N289" s="1" t="s">
        <v>440</v>
      </c>
      <c r="O289" s="19">
        <v>490</v>
      </c>
      <c r="P289" s="1" t="s">
        <v>18</v>
      </c>
      <c r="Q289" s="19">
        <v>3</v>
      </c>
      <c r="R289" s="19">
        <v>2</v>
      </c>
      <c r="S289" s="19">
        <v>33</v>
      </c>
      <c r="T289" s="14">
        <v>115000</v>
      </c>
      <c r="U289" s="14">
        <v>110000</v>
      </c>
      <c r="V289" s="14">
        <v>67000</v>
      </c>
      <c r="W289" s="4">
        <f t="shared" si="12"/>
        <v>-4.3478260869565216E-2</v>
      </c>
      <c r="Z289" s="11">
        <f t="shared" si="13"/>
        <v>0.60909090909090913</v>
      </c>
      <c r="AA289" s="19">
        <f t="shared" si="14"/>
        <v>43000</v>
      </c>
    </row>
    <row r="290" spans="2:27" x14ac:dyDescent="0.45">
      <c r="B290" s="7">
        <v>1946</v>
      </c>
      <c r="C290" s="1" t="s">
        <v>143</v>
      </c>
      <c r="D290" s="1" t="s">
        <v>1077</v>
      </c>
      <c r="E290" s="1" t="s">
        <v>1100</v>
      </c>
      <c r="F290" s="1" t="s">
        <v>1082</v>
      </c>
      <c r="G290" s="19">
        <v>5</v>
      </c>
      <c r="H290" s="19">
        <v>55</v>
      </c>
      <c r="I290" s="19">
        <v>32</v>
      </c>
      <c r="J290" s="19">
        <v>40</v>
      </c>
      <c r="K290" s="1" t="s">
        <v>189</v>
      </c>
      <c r="L290" s="2" t="s">
        <v>453</v>
      </c>
      <c r="M290" s="19">
        <v>2020</v>
      </c>
      <c r="N290" s="1" t="s">
        <v>434</v>
      </c>
      <c r="O290" s="19">
        <v>3045</v>
      </c>
      <c r="P290" s="1" t="s">
        <v>18</v>
      </c>
      <c r="Q290" s="19">
        <v>3</v>
      </c>
      <c r="R290" s="19">
        <v>2</v>
      </c>
      <c r="S290" s="19">
        <v>25</v>
      </c>
      <c r="T290" s="14">
        <v>110000</v>
      </c>
      <c r="U290" s="14">
        <v>110000</v>
      </c>
      <c r="V290" s="14">
        <v>58000</v>
      </c>
      <c r="W290" s="4">
        <f t="shared" si="12"/>
        <v>0</v>
      </c>
      <c r="Z290" s="11">
        <f t="shared" si="13"/>
        <v>0.52727272727272723</v>
      </c>
      <c r="AA290" s="19">
        <f t="shared" si="14"/>
        <v>52000</v>
      </c>
    </row>
    <row r="291" spans="2:27" x14ac:dyDescent="0.45">
      <c r="B291" s="7">
        <v>2265</v>
      </c>
      <c r="C291" s="1" t="s">
        <v>380</v>
      </c>
      <c r="D291" s="1" t="s">
        <v>1182</v>
      </c>
      <c r="E291" s="1" t="s">
        <v>1185</v>
      </c>
      <c r="F291" s="1" t="s">
        <v>1186</v>
      </c>
      <c r="G291" s="19">
        <v>5</v>
      </c>
      <c r="H291" s="19">
        <v>40</v>
      </c>
      <c r="I291" s="19">
        <v>35</v>
      </c>
      <c r="J291" s="19">
        <v>20</v>
      </c>
      <c r="K291" s="1" t="s">
        <v>382</v>
      </c>
      <c r="L291" s="2" t="s">
        <v>439</v>
      </c>
      <c r="M291" s="19">
        <v>2009</v>
      </c>
      <c r="N291" s="1" t="s">
        <v>440</v>
      </c>
      <c r="O291" s="19">
        <v>288</v>
      </c>
      <c r="P291" s="1" t="s">
        <v>18</v>
      </c>
      <c r="Q291" s="19">
        <v>3</v>
      </c>
      <c r="R291" s="19">
        <v>2</v>
      </c>
      <c r="S291" s="19">
        <v>33</v>
      </c>
      <c r="T291" s="14">
        <v>117000</v>
      </c>
      <c r="U291" s="14">
        <v>110000</v>
      </c>
      <c r="V291" s="14">
        <v>63000</v>
      </c>
      <c r="W291" s="4">
        <f t="shared" si="12"/>
        <v>-5.9829059829059832E-2</v>
      </c>
      <c r="Z291" s="11">
        <f t="shared" si="13"/>
        <v>0.57272727272727275</v>
      </c>
      <c r="AA291" s="19">
        <f t="shared" si="14"/>
        <v>47000</v>
      </c>
    </row>
    <row r="292" spans="2:27" x14ac:dyDescent="0.45">
      <c r="B292" s="7">
        <v>600</v>
      </c>
      <c r="C292" s="1" t="s">
        <v>58</v>
      </c>
      <c r="D292" s="1" t="s">
        <v>607</v>
      </c>
      <c r="E292" s="1" t="s">
        <v>610</v>
      </c>
      <c r="F292" s="1" t="s">
        <v>614</v>
      </c>
      <c r="G292" s="19">
        <v>6</v>
      </c>
      <c r="H292" s="19">
        <v>32</v>
      </c>
      <c r="I292" s="19">
        <v>38</v>
      </c>
      <c r="J292" s="19">
        <v>35</v>
      </c>
      <c r="K292" s="1" t="s">
        <v>59</v>
      </c>
      <c r="L292" s="2" t="s">
        <v>439</v>
      </c>
      <c r="M292" s="19">
        <v>2003</v>
      </c>
      <c r="N292" s="1" t="s">
        <v>434</v>
      </c>
      <c r="O292" s="19">
        <v>3544</v>
      </c>
      <c r="P292" s="1" t="s">
        <v>18</v>
      </c>
      <c r="Q292" s="19">
        <v>3</v>
      </c>
      <c r="R292" s="19">
        <v>2</v>
      </c>
      <c r="S292" s="19">
        <v>33</v>
      </c>
      <c r="T292" s="14">
        <v>115500</v>
      </c>
      <c r="U292" s="14">
        <v>113000</v>
      </c>
      <c r="V292" s="14">
        <v>62000</v>
      </c>
      <c r="W292" s="4">
        <f t="shared" si="12"/>
        <v>-2.1645021645021644E-2</v>
      </c>
      <c r="Z292" s="11">
        <f t="shared" si="13"/>
        <v>0.54867256637168138</v>
      </c>
      <c r="AA292" s="19">
        <f t="shared" si="14"/>
        <v>51000</v>
      </c>
    </row>
    <row r="293" spans="2:27" x14ac:dyDescent="0.45">
      <c r="B293" s="7">
        <v>2162</v>
      </c>
      <c r="C293" s="1" t="s">
        <v>226</v>
      </c>
      <c r="D293" s="1" t="s">
        <v>1150</v>
      </c>
      <c r="E293" s="1" t="s">
        <v>1164</v>
      </c>
      <c r="F293" s="1" t="s">
        <v>1161</v>
      </c>
      <c r="G293" s="19">
        <v>7</v>
      </c>
      <c r="H293" s="19">
        <v>55</v>
      </c>
      <c r="I293" s="19">
        <v>35</v>
      </c>
      <c r="J293" s="19">
        <v>32</v>
      </c>
      <c r="K293" s="2" t="s">
        <v>348</v>
      </c>
      <c r="L293" s="2" t="s">
        <v>453</v>
      </c>
      <c r="M293" s="19">
        <v>2020</v>
      </c>
      <c r="N293" s="1" t="s">
        <v>434</v>
      </c>
      <c r="O293" s="19">
        <v>1305</v>
      </c>
      <c r="P293" s="1" t="s">
        <v>18</v>
      </c>
      <c r="Q293" s="19">
        <v>3</v>
      </c>
      <c r="R293" s="19">
        <v>2</v>
      </c>
      <c r="S293" s="19">
        <v>33</v>
      </c>
      <c r="T293" s="14">
        <v>120000</v>
      </c>
      <c r="U293" s="14">
        <v>113000</v>
      </c>
      <c r="V293" s="14">
        <v>70000</v>
      </c>
      <c r="W293" s="4">
        <f t="shared" si="12"/>
        <v>-5.8333333333333334E-2</v>
      </c>
      <c r="Z293" s="11">
        <f t="shared" si="13"/>
        <v>0.61946902654867253</v>
      </c>
      <c r="AA293" s="19">
        <f t="shared" si="14"/>
        <v>43000</v>
      </c>
    </row>
    <row r="294" spans="2:27" x14ac:dyDescent="0.45">
      <c r="B294" s="7">
        <v>749</v>
      </c>
      <c r="C294" s="5" t="s">
        <v>242</v>
      </c>
      <c r="D294" s="5" t="s">
        <v>711</v>
      </c>
      <c r="E294" s="1" t="s">
        <v>720</v>
      </c>
      <c r="F294" s="1" t="s">
        <v>721</v>
      </c>
      <c r="G294" s="19">
        <v>3</v>
      </c>
      <c r="H294" s="19">
        <v>58</v>
      </c>
      <c r="I294" s="19">
        <v>68</v>
      </c>
      <c r="J294" s="19">
        <v>51</v>
      </c>
      <c r="K294" s="5" t="s">
        <v>385</v>
      </c>
      <c r="L294" s="2" t="s">
        <v>433</v>
      </c>
      <c r="M294" s="18">
        <v>1992</v>
      </c>
      <c r="N294" s="1" t="s">
        <v>434</v>
      </c>
      <c r="O294" s="18">
        <v>2328</v>
      </c>
      <c r="P294" s="5" t="s">
        <v>18</v>
      </c>
      <c r="Q294" s="18">
        <v>3</v>
      </c>
      <c r="R294" s="18">
        <v>2</v>
      </c>
      <c r="S294" s="18">
        <v>33</v>
      </c>
      <c r="T294" s="14">
        <v>130000</v>
      </c>
      <c r="U294" s="14">
        <v>114000</v>
      </c>
      <c r="V294" s="14">
        <v>65000</v>
      </c>
      <c r="W294" s="4">
        <f t="shared" si="12"/>
        <v>-0.12307692307692308</v>
      </c>
      <c r="Z294" s="11">
        <f t="shared" si="13"/>
        <v>0.57017543859649122</v>
      </c>
      <c r="AA294" s="19">
        <f t="shared" si="14"/>
        <v>49000</v>
      </c>
    </row>
    <row r="295" spans="2:27" x14ac:dyDescent="0.45">
      <c r="B295" s="7">
        <v>1653</v>
      </c>
      <c r="C295" s="1" t="s">
        <v>77</v>
      </c>
      <c r="D295" s="1" t="s">
        <v>998</v>
      </c>
      <c r="E295" s="1" t="s">
        <v>1019</v>
      </c>
      <c r="F295" s="1" t="s">
        <v>1013</v>
      </c>
      <c r="G295" s="19">
        <v>5</v>
      </c>
      <c r="H295" s="19">
        <v>52</v>
      </c>
      <c r="I295" s="19">
        <v>48</v>
      </c>
      <c r="J295" s="19">
        <v>40</v>
      </c>
      <c r="K295" s="6" t="s">
        <v>153</v>
      </c>
      <c r="L295" s="2" t="s">
        <v>453</v>
      </c>
      <c r="M295" s="19">
        <v>2019</v>
      </c>
      <c r="N295" s="1" t="s">
        <v>434</v>
      </c>
      <c r="O295" s="19">
        <v>1091</v>
      </c>
      <c r="P295" s="1" t="s">
        <v>18</v>
      </c>
      <c r="Q295" s="19">
        <v>3</v>
      </c>
      <c r="R295" s="19">
        <v>2</v>
      </c>
      <c r="S295" s="19">
        <v>25</v>
      </c>
      <c r="T295" s="14">
        <v>108000</v>
      </c>
      <c r="U295" s="14">
        <v>114000</v>
      </c>
      <c r="V295" s="14">
        <v>58000</v>
      </c>
      <c r="W295" s="4">
        <f t="shared" si="12"/>
        <v>5.5555555555555552E-2</v>
      </c>
      <c r="Z295" s="11">
        <f t="shared" si="13"/>
        <v>0.50877192982456143</v>
      </c>
      <c r="AA295" s="19">
        <f t="shared" si="14"/>
        <v>56000</v>
      </c>
    </row>
    <row r="296" spans="2:27" x14ac:dyDescent="0.45">
      <c r="B296" s="7">
        <v>365</v>
      </c>
      <c r="C296" s="1" t="s">
        <v>86</v>
      </c>
      <c r="D296" s="1" t="s">
        <v>555</v>
      </c>
      <c r="E296" s="1" t="s">
        <v>564</v>
      </c>
      <c r="F296" s="1" t="s">
        <v>558</v>
      </c>
      <c r="G296" s="19">
        <v>6</v>
      </c>
      <c r="H296" s="19">
        <v>43</v>
      </c>
      <c r="I296" s="19">
        <v>16</v>
      </c>
      <c r="J296" s="19">
        <v>29</v>
      </c>
      <c r="K296" s="2" t="s">
        <v>322</v>
      </c>
      <c r="L296" s="2" t="s">
        <v>433</v>
      </c>
      <c r="M296" s="19">
        <v>1998</v>
      </c>
      <c r="N296" s="1" t="s">
        <v>447</v>
      </c>
      <c r="O296" s="19">
        <v>778</v>
      </c>
      <c r="P296" s="1" t="s">
        <v>18</v>
      </c>
      <c r="Q296" s="19">
        <v>3</v>
      </c>
      <c r="R296" s="19">
        <v>2</v>
      </c>
      <c r="S296" s="19">
        <v>32</v>
      </c>
      <c r="T296" s="14">
        <v>115000</v>
      </c>
      <c r="U296" s="14">
        <v>115000</v>
      </c>
      <c r="V296" s="14">
        <v>70000</v>
      </c>
      <c r="W296" s="4">
        <f t="shared" si="12"/>
        <v>0</v>
      </c>
      <c r="Z296" s="11">
        <f t="shared" si="13"/>
        <v>0.60869565217391308</v>
      </c>
      <c r="AA296" s="19">
        <f t="shared" si="14"/>
        <v>45000</v>
      </c>
    </row>
    <row r="297" spans="2:27" x14ac:dyDescent="0.45">
      <c r="B297" s="7">
        <v>592</v>
      </c>
      <c r="C297" s="1" t="s">
        <v>58</v>
      </c>
      <c r="D297" s="1" t="s">
        <v>607</v>
      </c>
      <c r="E297" s="1" t="s">
        <v>610</v>
      </c>
      <c r="F297" s="1" t="s">
        <v>611</v>
      </c>
      <c r="G297" s="19">
        <v>6</v>
      </c>
      <c r="H297" s="19">
        <v>28</v>
      </c>
      <c r="I297" s="19">
        <v>35</v>
      </c>
      <c r="J297" s="19">
        <v>35</v>
      </c>
      <c r="K297" s="1" t="s">
        <v>61</v>
      </c>
      <c r="L297" s="2" t="s">
        <v>439</v>
      </c>
      <c r="M297" s="19">
        <v>2004</v>
      </c>
      <c r="N297" s="1" t="s">
        <v>434</v>
      </c>
      <c r="O297" s="19">
        <v>2104</v>
      </c>
      <c r="P297" s="1" t="s">
        <v>18</v>
      </c>
      <c r="Q297" s="19">
        <v>3</v>
      </c>
      <c r="R297" s="19">
        <v>2</v>
      </c>
      <c r="S297" s="19">
        <v>33</v>
      </c>
      <c r="T297" s="14">
        <v>112000</v>
      </c>
      <c r="U297" s="14">
        <v>115000</v>
      </c>
      <c r="V297" s="14">
        <v>70000</v>
      </c>
      <c r="W297" s="4">
        <f t="shared" si="12"/>
        <v>2.6785714285714284E-2</v>
      </c>
      <c r="Z297" s="11">
        <f t="shared" si="13"/>
        <v>0.60869565217391308</v>
      </c>
      <c r="AA297" s="19">
        <f t="shared" si="14"/>
        <v>45000</v>
      </c>
    </row>
    <row r="298" spans="2:27" x14ac:dyDescent="0.45">
      <c r="B298" s="7">
        <v>703</v>
      </c>
      <c r="C298" s="1" t="s">
        <v>35</v>
      </c>
      <c r="D298" s="1" t="s">
        <v>652</v>
      </c>
      <c r="E298" s="1" t="s">
        <v>676</v>
      </c>
      <c r="F298" s="1" t="s">
        <v>677</v>
      </c>
      <c r="G298" s="19">
        <v>3</v>
      </c>
      <c r="H298" s="19">
        <v>35</v>
      </c>
      <c r="I298" s="19">
        <v>15</v>
      </c>
      <c r="J298" s="19">
        <v>25</v>
      </c>
      <c r="K298" s="1" t="s">
        <v>70</v>
      </c>
      <c r="L298" s="2" t="s">
        <v>439</v>
      </c>
      <c r="M298" s="19">
        <v>2000</v>
      </c>
      <c r="N298" s="1" t="s">
        <v>434</v>
      </c>
      <c r="O298" s="19">
        <v>1252</v>
      </c>
      <c r="P298" s="5" t="s">
        <v>18</v>
      </c>
      <c r="Q298" s="18">
        <v>3</v>
      </c>
      <c r="R298" s="19">
        <v>1</v>
      </c>
      <c r="S298" s="18">
        <v>24</v>
      </c>
      <c r="T298" s="14">
        <v>103000</v>
      </c>
      <c r="U298" s="14">
        <v>115000</v>
      </c>
      <c r="V298" s="14">
        <v>60000</v>
      </c>
      <c r="W298" s="4">
        <f t="shared" si="12"/>
        <v>0.11650485436893204</v>
      </c>
      <c r="Z298" s="11">
        <f t="shared" si="13"/>
        <v>0.52173913043478259</v>
      </c>
      <c r="AA298" s="19">
        <f t="shared" si="14"/>
        <v>55000</v>
      </c>
    </row>
    <row r="299" spans="2:27" x14ac:dyDescent="0.45">
      <c r="B299" s="7">
        <v>727</v>
      </c>
      <c r="C299" s="5" t="s">
        <v>287</v>
      </c>
      <c r="D299" s="5" t="s">
        <v>698</v>
      </c>
      <c r="E299" s="1" t="s">
        <v>699</v>
      </c>
      <c r="F299" s="1" t="s">
        <v>700</v>
      </c>
      <c r="G299" s="19">
        <v>4</v>
      </c>
      <c r="H299" s="19">
        <v>45</v>
      </c>
      <c r="I299" s="19">
        <v>28</v>
      </c>
      <c r="J299" s="19">
        <v>40</v>
      </c>
      <c r="K299" s="5" t="s">
        <v>288</v>
      </c>
      <c r="L299" s="2" t="s">
        <v>453</v>
      </c>
      <c r="M299" s="18">
        <v>2016</v>
      </c>
      <c r="N299" s="1" t="s">
        <v>434</v>
      </c>
      <c r="O299" s="18">
        <v>1743</v>
      </c>
      <c r="P299" s="5" t="s">
        <v>18</v>
      </c>
      <c r="Q299" s="18">
        <v>3</v>
      </c>
      <c r="R299" s="18">
        <v>2</v>
      </c>
      <c r="S299" s="18">
        <v>33</v>
      </c>
      <c r="T299" s="14">
        <v>137000</v>
      </c>
      <c r="U299" s="14">
        <v>115000</v>
      </c>
      <c r="V299" s="14">
        <v>70000</v>
      </c>
      <c r="W299" s="4">
        <f t="shared" si="12"/>
        <v>-0.16058394160583941</v>
      </c>
      <c r="Z299" s="11">
        <f t="shared" si="13"/>
        <v>0.60869565217391308</v>
      </c>
      <c r="AA299" s="19">
        <f t="shared" si="14"/>
        <v>45000</v>
      </c>
    </row>
    <row r="300" spans="2:27" x14ac:dyDescent="0.45">
      <c r="B300" s="7">
        <v>736</v>
      </c>
      <c r="C300" s="5" t="s">
        <v>242</v>
      </c>
      <c r="D300" s="5" t="s">
        <v>711</v>
      </c>
      <c r="E300" s="1" t="s">
        <v>712</v>
      </c>
      <c r="F300" s="1" t="s">
        <v>713</v>
      </c>
      <c r="G300" s="19">
        <v>5</v>
      </c>
      <c r="H300" s="19">
        <v>45</v>
      </c>
      <c r="I300" s="19">
        <v>55</v>
      </c>
      <c r="J300" s="19">
        <v>38</v>
      </c>
      <c r="K300" s="5" t="s">
        <v>410</v>
      </c>
      <c r="L300" s="2" t="s">
        <v>433</v>
      </c>
      <c r="M300" s="18">
        <v>1988</v>
      </c>
      <c r="N300" s="1" t="s">
        <v>434</v>
      </c>
      <c r="O300" s="18">
        <v>1320</v>
      </c>
      <c r="P300" s="5" t="s">
        <v>18</v>
      </c>
      <c r="Q300" s="18">
        <v>3</v>
      </c>
      <c r="R300" s="18">
        <v>2</v>
      </c>
      <c r="S300" s="18">
        <v>33</v>
      </c>
      <c r="T300" s="14">
        <v>125500</v>
      </c>
      <c r="U300" s="14">
        <v>115000</v>
      </c>
      <c r="V300" s="14">
        <v>56000</v>
      </c>
      <c r="W300" s="4">
        <f t="shared" si="12"/>
        <v>-8.3665338645418322E-2</v>
      </c>
      <c r="Z300" s="11">
        <f t="shared" si="13"/>
        <v>0.48695652173913045</v>
      </c>
      <c r="AA300" s="19">
        <f t="shared" si="14"/>
        <v>59000</v>
      </c>
    </row>
    <row r="301" spans="2:27" x14ac:dyDescent="0.45">
      <c r="B301" s="7">
        <v>761</v>
      </c>
      <c r="C301" s="5" t="s">
        <v>248</v>
      </c>
      <c r="D301" s="5" t="s">
        <v>711</v>
      </c>
      <c r="E301" s="1" t="s">
        <v>733</v>
      </c>
      <c r="F301" s="1" t="s">
        <v>734</v>
      </c>
      <c r="G301" s="19">
        <v>5</v>
      </c>
      <c r="H301" s="19">
        <v>48</v>
      </c>
      <c r="I301" s="19">
        <v>40</v>
      </c>
      <c r="J301" s="19">
        <v>32</v>
      </c>
      <c r="K301" s="5" t="s">
        <v>339</v>
      </c>
      <c r="L301" s="2" t="s">
        <v>433</v>
      </c>
      <c r="M301" s="18">
        <v>1986</v>
      </c>
      <c r="N301" s="1" t="s">
        <v>434</v>
      </c>
      <c r="O301" s="18">
        <v>3930</v>
      </c>
      <c r="P301" s="5" t="s">
        <v>5</v>
      </c>
      <c r="Q301" s="18">
        <v>3</v>
      </c>
      <c r="R301" s="18">
        <v>1</v>
      </c>
      <c r="S301" s="18">
        <v>23</v>
      </c>
      <c r="T301" s="14">
        <v>98000</v>
      </c>
      <c r="U301" s="14">
        <v>115000</v>
      </c>
      <c r="V301" s="14">
        <v>28000</v>
      </c>
      <c r="W301" s="4">
        <f t="shared" si="12"/>
        <v>0.17346938775510204</v>
      </c>
      <c r="Z301" s="11">
        <f t="shared" si="13"/>
        <v>0.24347826086956523</v>
      </c>
      <c r="AA301" s="19">
        <f t="shared" si="14"/>
        <v>87000</v>
      </c>
    </row>
    <row r="302" spans="2:27" x14ac:dyDescent="0.45">
      <c r="B302" s="7">
        <v>881</v>
      </c>
      <c r="C302" s="1" t="s">
        <v>95</v>
      </c>
      <c r="D302" s="1" t="s">
        <v>781</v>
      </c>
      <c r="E302" s="1" t="s">
        <v>799</v>
      </c>
      <c r="F302" s="1" t="s">
        <v>798</v>
      </c>
      <c r="G302" s="19">
        <v>5</v>
      </c>
      <c r="H302" s="19">
        <v>43</v>
      </c>
      <c r="I302" s="19">
        <v>41</v>
      </c>
      <c r="J302" s="19">
        <v>44</v>
      </c>
      <c r="K302" s="1" t="s">
        <v>375</v>
      </c>
      <c r="L302" s="2" t="s">
        <v>439</v>
      </c>
      <c r="M302" s="19">
        <v>2007</v>
      </c>
      <c r="N302" s="1" t="s">
        <v>434</v>
      </c>
      <c r="O302" s="19">
        <v>1786</v>
      </c>
      <c r="P302" s="1" t="s">
        <v>18</v>
      </c>
      <c r="Q302" s="19">
        <v>3</v>
      </c>
      <c r="R302" s="19">
        <v>2</v>
      </c>
      <c r="S302" s="19">
        <v>31</v>
      </c>
      <c r="T302" s="14">
        <v>115000</v>
      </c>
      <c r="U302" s="14">
        <v>115000</v>
      </c>
      <c r="V302" s="14">
        <v>53000</v>
      </c>
      <c r="W302" s="4">
        <f t="shared" si="12"/>
        <v>0</v>
      </c>
      <c r="Z302" s="11">
        <f t="shared" si="13"/>
        <v>0.46086956521739131</v>
      </c>
      <c r="AA302" s="19">
        <f t="shared" si="14"/>
        <v>62000</v>
      </c>
    </row>
    <row r="303" spans="2:27" x14ac:dyDescent="0.45">
      <c r="B303" s="7">
        <v>957</v>
      </c>
      <c r="C303" s="1" t="s">
        <v>421</v>
      </c>
      <c r="D303" s="1" t="s">
        <v>816</v>
      </c>
      <c r="E303" s="1" t="s">
        <v>821</v>
      </c>
      <c r="F303" s="1" t="s">
        <v>822</v>
      </c>
      <c r="G303" s="19">
        <v>6</v>
      </c>
      <c r="H303" s="19">
        <v>22</v>
      </c>
      <c r="I303" s="19">
        <v>15</v>
      </c>
      <c r="J303" s="19">
        <v>25</v>
      </c>
      <c r="K303" s="2" t="s">
        <v>426</v>
      </c>
      <c r="L303" s="2" t="s">
        <v>439</v>
      </c>
      <c r="M303" s="19">
        <v>2003</v>
      </c>
      <c r="N303" s="1" t="s">
        <v>440</v>
      </c>
      <c r="O303" s="19">
        <v>206</v>
      </c>
      <c r="P303" s="1" t="s">
        <v>5</v>
      </c>
      <c r="Q303" s="19">
        <v>3</v>
      </c>
      <c r="R303" s="19">
        <v>1</v>
      </c>
      <c r="S303" s="19">
        <v>24</v>
      </c>
      <c r="T303" s="14">
        <v>90000</v>
      </c>
      <c r="U303" s="14">
        <v>115000</v>
      </c>
      <c r="V303" s="14">
        <v>55000</v>
      </c>
      <c r="W303" s="4">
        <f t="shared" si="12"/>
        <v>0.27777777777777779</v>
      </c>
      <c r="Z303" s="11">
        <f t="shared" si="13"/>
        <v>0.47826086956521741</v>
      </c>
      <c r="AA303" s="19">
        <f t="shared" si="14"/>
        <v>60000</v>
      </c>
    </row>
    <row r="304" spans="2:27" x14ac:dyDescent="0.45">
      <c r="B304" s="7">
        <v>1654</v>
      </c>
      <c r="C304" s="1" t="s">
        <v>13</v>
      </c>
      <c r="D304" s="1" t="s">
        <v>998</v>
      </c>
      <c r="E304" s="1" t="s">
        <v>1020</v>
      </c>
      <c r="F304" s="1" t="s">
        <v>1017</v>
      </c>
      <c r="G304" s="19">
        <v>7</v>
      </c>
      <c r="H304" s="19">
        <v>48</v>
      </c>
      <c r="I304" s="19">
        <v>45</v>
      </c>
      <c r="J304" s="19">
        <v>32</v>
      </c>
      <c r="K304" s="1" t="s">
        <v>149</v>
      </c>
      <c r="L304" s="2" t="s">
        <v>439</v>
      </c>
      <c r="M304" s="19">
        <v>2009</v>
      </c>
      <c r="N304" s="1" t="s">
        <v>447</v>
      </c>
      <c r="O304" s="19">
        <v>955</v>
      </c>
      <c r="P304" s="1" t="s">
        <v>18</v>
      </c>
      <c r="Q304" s="19">
        <v>3</v>
      </c>
      <c r="R304" s="19">
        <v>2</v>
      </c>
      <c r="S304" s="19">
        <v>33</v>
      </c>
      <c r="T304" s="14">
        <v>108500</v>
      </c>
      <c r="U304" s="14">
        <v>115000</v>
      </c>
      <c r="V304" s="14">
        <v>61000</v>
      </c>
      <c r="W304" s="4">
        <f t="shared" si="12"/>
        <v>5.9907834101382486E-2</v>
      </c>
      <c r="Z304" s="11">
        <f t="shared" si="13"/>
        <v>0.5304347826086957</v>
      </c>
      <c r="AA304" s="19">
        <f t="shared" si="14"/>
        <v>54000</v>
      </c>
    </row>
    <row r="305" spans="2:27" x14ac:dyDescent="0.45">
      <c r="B305" s="7">
        <v>1673</v>
      </c>
      <c r="C305" s="1" t="s">
        <v>77</v>
      </c>
      <c r="D305" s="1" t="s">
        <v>998</v>
      </c>
      <c r="E305" s="1" t="s">
        <v>1023</v>
      </c>
      <c r="F305" s="1" t="s">
        <v>1024</v>
      </c>
      <c r="G305" s="19">
        <v>4</v>
      </c>
      <c r="H305" s="19">
        <v>45</v>
      </c>
      <c r="I305" s="19">
        <v>40</v>
      </c>
      <c r="J305" s="19">
        <v>25</v>
      </c>
      <c r="K305" s="1" t="s">
        <v>123</v>
      </c>
      <c r="L305" s="2" t="s">
        <v>453</v>
      </c>
      <c r="M305" s="19">
        <v>2016</v>
      </c>
      <c r="N305" s="1" t="s">
        <v>447</v>
      </c>
      <c r="O305" s="19">
        <v>629</v>
      </c>
      <c r="P305" s="1" t="s">
        <v>18</v>
      </c>
      <c r="Q305" s="19">
        <v>3</v>
      </c>
      <c r="R305" s="19">
        <v>2</v>
      </c>
      <c r="S305" s="19">
        <v>33</v>
      </c>
      <c r="T305" s="14">
        <v>124500</v>
      </c>
      <c r="U305" s="14">
        <v>115000</v>
      </c>
      <c r="V305" s="14">
        <v>75000</v>
      </c>
      <c r="W305" s="4">
        <f t="shared" si="12"/>
        <v>-7.6305220883534142E-2</v>
      </c>
      <c r="Z305" s="11">
        <f t="shared" si="13"/>
        <v>0.65217391304347827</v>
      </c>
      <c r="AA305" s="19">
        <f t="shared" si="14"/>
        <v>40000</v>
      </c>
    </row>
    <row r="306" spans="2:27" x14ac:dyDescent="0.45">
      <c r="B306" s="7">
        <v>1920</v>
      </c>
      <c r="C306" s="1" t="s">
        <v>73</v>
      </c>
      <c r="D306" s="1" t="s">
        <v>1077</v>
      </c>
      <c r="E306" s="1" t="s">
        <v>1092</v>
      </c>
      <c r="F306" s="1" t="s">
        <v>991</v>
      </c>
      <c r="G306" s="19">
        <v>5</v>
      </c>
      <c r="H306" s="19">
        <v>52</v>
      </c>
      <c r="I306" s="19">
        <v>28</v>
      </c>
      <c r="J306" s="19">
        <v>38</v>
      </c>
      <c r="K306" s="1" t="s">
        <v>306</v>
      </c>
      <c r="L306" s="2" t="s">
        <v>439</v>
      </c>
      <c r="M306" s="19">
        <v>2014</v>
      </c>
      <c r="N306" s="1" t="s">
        <v>447</v>
      </c>
      <c r="O306" s="19">
        <v>930</v>
      </c>
      <c r="P306" s="1" t="s">
        <v>18</v>
      </c>
      <c r="Q306" s="19">
        <v>3</v>
      </c>
      <c r="R306" s="19">
        <v>2</v>
      </c>
      <c r="S306" s="19">
        <v>33</v>
      </c>
      <c r="T306" s="14">
        <v>121000</v>
      </c>
      <c r="U306" s="14">
        <v>115000</v>
      </c>
      <c r="V306" s="14">
        <v>60000</v>
      </c>
      <c r="W306" s="4">
        <f t="shared" si="12"/>
        <v>-4.9586776859504134E-2</v>
      </c>
      <c r="Z306" s="11">
        <f t="shared" si="13"/>
        <v>0.52173913043478259</v>
      </c>
      <c r="AA306" s="19">
        <f t="shared" si="14"/>
        <v>55000</v>
      </c>
    </row>
    <row r="307" spans="2:27" x14ac:dyDescent="0.45">
      <c r="B307" s="7">
        <v>2214</v>
      </c>
      <c r="C307" s="1" t="s">
        <v>92</v>
      </c>
      <c r="D307" s="1" t="s">
        <v>1150</v>
      </c>
      <c r="E307" s="1" t="s">
        <v>1171</v>
      </c>
      <c r="F307" s="1" t="s">
        <v>1168</v>
      </c>
      <c r="G307" s="19">
        <v>8</v>
      </c>
      <c r="H307" s="19">
        <v>52</v>
      </c>
      <c r="I307" s="19">
        <v>25</v>
      </c>
      <c r="J307" s="19">
        <v>30</v>
      </c>
      <c r="K307" s="2" t="s">
        <v>279</v>
      </c>
      <c r="L307" s="2" t="s">
        <v>453</v>
      </c>
      <c r="M307" s="19">
        <v>2021</v>
      </c>
      <c r="N307" s="1" t="s">
        <v>434</v>
      </c>
      <c r="O307" s="19">
        <v>1192</v>
      </c>
      <c r="P307" s="1" t="s">
        <v>18</v>
      </c>
      <c r="Q307" s="19">
        <v>3</v>
      </c>
      <c r="R307" s="19">
        <v>2</v>
      </c>
      <c r="S307" s="19">
        <v>25</v>
      </c>
      <c r="T307" s="14">
        <v>104500</v>
      </c>
      <c r="U307" s="14">
        <v>115000</v>
      </c>
      <c r="V307" s="14">
        <v>65000</v>
      </c>
      <c r="W307" s="4">
        <f t="shared" si="12"/>
        <v>0.10047846889952153</v>
      </c>
      <c r="Z307" s="11">
        <f t="shared" si="13"/>
        <v>0.56521739130434778</v>
      </c>
      <c r="AA307" s="19">
        <f t="shared" si="14"/>
        <v>50000</v>
      </c>
    </row>
    <row r="308" spans="2:27" x14ac:dyDescent="0.45">
      <c r="B308" s="7">
        <v>2222</v>
      </c>
      <c r="C308" s="1" t="s">
        <v>226</v>
      </c>
      <c r="D308" s="1" t="s">
        <v>1150</v>
      </c>
      <c r="E308" s="1" t="s">
        <v>1172</v>
      </c>
      <c r="F308" s="1" t="s">
        <v>1173</v>
      </c>
      <c r="G308" s="19">
        <v>5</v>
      </c>
      <c r="H308" s="19">
        <v>50</v>
      </c>
      <c r="I308" s="19">
        <v>45</v>
      </c>
      <c r="J308" s="19">
        <v>25</v>
      </c>
      <c r="K308" s="2" t="s">
        <v>229</v>
      </c>
      <c r="L308" s="2" t="s">
        <v>439</v>
      </c>
      <c r="M308" s="19">
        <v>2011</v>
      </c>
      <c r="N308" s="1" t="s">
        <v>447</v>
      </c>
      <c r="O308" s="19">
        <v>882</v>
      </c>
      <c r="P308" s="1" t="s">
        <v>18</v>
      </c>
      <c r="Q308" s="19">
        <v>3</v>
      </c>
      <c r="R308" s="19">
        <v>2</v>
      </c>
      <c r="S308" s="19">
        <v>33</v>
      </c>
      <c r="T308" s="14">
        <v>129000</v>
      </c>
      <c r="U308" s="14">
        <v>115000</v>
      </c>
      <c r="V308" s="14">
        <v>63000</v>
      </c>
      <c r="W308" s="4">
        <f t="shared" si="12"/>
        <v>-0.10852713178294573</v>
      </c>
      <c r="Z308" s="11">
        <f t="shared" si="13"/>
        <v>0.54782608695652169</v>
      </c>
      <c r="AA308" s="19">
        <f t="shared" si="14"/>
        <v>52000</v>
      </c>
    </row>
    <row r="309" spans="2:27" x14ac:dyDescent="0.45">
      <c r="B309" s="7">
        <v>2267</v>
      </c>
      <c r="C309" s="1" t="s">
        <v>380</v>
      </c>
      <c r="D309" s="1" t="s">
        <v>1182</v>
      </c>
      <c r="E309" s="1" t="s">
        <v>1187</v>
      </c>
      <c r="F309" s="1" t="s">
        <v>1188</v>
      </c>
      <c r="G309" s="19">
        <v>7</v>
      </c>
      <c r="H309" s="19">
        <v>45</v>
      </c>
      <c r="I309" s="19">
        <v>40</v>
      </c>
      <c r="J309" s="19">
        <v>22</v>
      </c>
      <c r="K309" s="1" t="s">
        <v>381</v>
      </c>
      <c r="L309" s="2" t="s">
        <v>439</v>
      </c>
      <c r="M309" s="19">
        <v>2008</v>
      </c>
      <c r="N309" s="1" t="s">
        <v>440</v>
      </c>
      <c r="O309" s="19">
        <v>416</v>
      </c>
      <c r="P309" s="1" t="s">
        <v>18</v>
      </c>
      <c r="Q309" s="19">
        <v>3</v>
      </c>
      <c r="R309" s="19">
        <v>2</v>
      </c>
      <c r="S309" s="19">
        <v>33</v>
      </c>
      <c r="T309" s="14">
        <v>109000</v>
      </c>
      <c r="U309" s="14">
        <v>115000</v>
      </c>
      <c r="V309" s="14">
        <v>70000</v>
      </c>
      <c r="W309" s="4">
        <f t="shared" si="12"/>
        <v>5.5045871559633031E-2</v>
      </c>
      <c r="Z309" s="11">
        <f t="shared" si="13"/>
        <v>0.60869565217391308</v>
      </c>
      <c r="AA309" s="19">
        <f t="shared" si="14"/>
        <v>45000</v>
      </c>
    </row>
    <row r="310" spans="2:27" x14ac:dyDescent="0.45">
      <c r="B310" s="7">
        <v>1691</v>
      </c>
      <c r="C310" s="1" t="s">
        <v>77</v>
      </c>
      <c r="D310" s="1" t="s">
        <v>998</v>
      </c>
      <c r="E310" s="1" t="s">
        <v>1025</v>
      </c>
      <c r="F310" s="1" t="s">
        <v>1026</v>
      </c>
      <c r="G310" s="19">
        <v>5</v>
      </c>
      <c r="H310" s="19">
        <v>55</v>
      </c>
      <c r="I310" s="19">
        <v>50</v>
      </c>
      <c r="J310" s="19">
        <v>42</v>
      </c>
      <c r="K310" s="6" t="s">
        <v>83</v>
      </c>
      <c r="L310" s="2" t="s">
        <v>453</v>
      </c>
      <c r="M310" s="19">
        <v>2022</v>
      </c>
      <c r="N310" s="1" t="s">
        <v>434</v>
      </c>
      <c r="O310" s="19">
        <v>1711</v>
      </c>
      <c r="P310" s="1" t="s">
        <v>18</v>
      </c>
      <c r="Q310" s="19">
        <v>3</v>
      </c>
      <c r="R310" s="19">
        <v>2</v>
      </c>
      <c r="S310" s="19">
        <v>25</v>
      </c>
      <c r="T310" s="14">
        <v>106000</v>
      </c>
      <c r="U310" s="14">
        <v>116000</v>
      </c>
      <c r="V310" s="14">
        <v>65000</v>
      </c>
      <c r="W310" s="4">
        <f t="shared" si="12"/>
        <v>9.4339622641509441E-2</v>
      </c>
      <c r="Z310" s="11">
        <f t="shared" si="13"/>
        <v>0.56034482758620685</v>
      </c>
      <c r="AA310" s="19">
        <f t="shared" si="14"/>
        <v>51000</v>
      </c>
    </row>
    <row r="311" spans="2:27" x14ac:dyDescent="0.45">
      <c r="B311" s="7">
        <v>604</v>
      </c>
      <c r="C311" s="1" t="s">
        <v>58</v>
      </c>
      <c r="D311" s="1" t="s">
        <v>607</v>
      </c>
      <c r="E311" s="1" t="s">
        <v>621</v>
      </c>
      <c r="F311" s="1" t="s">
        <v>616</v>
      </c>
      <c r="G311" s="19">
        <v>4</v>
      </c>
      <c r="H311" s="19">
        <v>28</v>
      </c>
      <c r="I311" s="19">
        <v>35</v>
      </c>
      <c r="J311" s="19">
        <v>33</v>
      </c>
      <c r="K311" s="1" t="s">
        <v>622</v>
      </c>
      <c r="L311" s="2" t="s">
        <v>439</v>
      </c>
      <c r="M311" s="19">
        <v>2004</v>
      </c>
      <c r="N311" s="1" t="s">
        <v>440</v>
      </c>
      <c r="O311" s="19">
        <v>487</v>
      </c>
      <c r="P311" s="1" t="s">
        <v>18</v>
      </c>
      <c r="Q311" s="19">
        <v>3</v>
      </c>
      <c r="R311" s="19">
        <v>2</v>
      </c>
      <c r="S311" s="19">
        <v>33</v>
      </c>
      <c r="T311" s="14">
        <v>109000</v>
      </c>
      <c r="U311" s="14">
        <v>117000</v>
      </c>
      <c r="V311" s="14">
        <v>61000</v>
      </c>
      <c r="W311" s="4">
        <f t="shared" si="12"/>
        <v>7.3394495412844041E-2</v>
      </c>
      <c r="Z311" s="11">
        <f t="shared" si="13"/>
        <v>0.5213675213675214</v>
      </c>
      <c r="AA311" s="19">
        <f t="shared" si="14"/>
        <v>56000</v>
      </c>
    </row>
    <row r="312" spans="2:27" x14ac:dyDescent="0.45">
      <c r="B312" s="7">
        <v>2246</v>
      </c>
      <c r="C312" s="1" t="s">
        <v>92</v>
      </c>
      <c r="D312" s="1" t="s">
        <v>1150</v>
      </c>
      <c r="E312" s="1" t="s">
        <v>1179</v>
      </c>
      <c r="F312" s="1" t="s">
        <v>1180</v>
      </c>
      <c r="G312" s="19">
        <v>3</v>
      </c>
      <c r="H312" s="19">
        <v>48</v>
      </c>
      <c r="I312" s="19">
        <v>40</v>
      </c>
      <c r="J312" s="19">
        <v>20</v>
      </c>
      <c r="K312" s="2" t="s">
        <v>93</v>
      </c>
      <c r="L312" s="2" t="s">
        <v>453</v>
      </c>
      <c r="M312" s="19">
        <v>2019</v>
      </c>
      <c r="N312" s="1" t="s">
        <v>434</v>
      </c>
      <c r="O312" s="19">
        <v>1305</v>
      </c>
      <c r="P312" s="1" t="s">
        <v>18</v>
      </c>
      <c r="Q312" s="19">
        <v>3</v>
      </c>
      <c r="R312" s="19">
        <v>2</v>
      </c>
      <c r="S312" s="19">
        <v>24</v>
      </c>
      <c r="T312" s="14">
        <v>112700</v>
      </c>
      <c r="U312" s="14">
        <v>117000</v>
      </c>
      <c r="V312" s="14">
        <v>60000</v>
      </c>
      <c r="W312" s="4">
        <f t="shared" si="12"/>
        <v>3.8154392191659274E-2</v>
      </c>
      <c r="Z312" s="11">
        <f t="shared" si="13"/>
        <v>0.51282051282051277</v>
      </c>
      <c r="AA312" s="19">
        <f t="shared" si="14"/>
        <v>57000</v>
      </c>
    </row>
    <row r="313" spans="2:27" x14ac:dyDescent="0.45">
      <c r="B313" s="7">
        <v>384</v>
      </c>
      <c r="C313" s="1" t="s">
        <v>86</v>
      </c>
      <c r="D313" s="1" t="s">
        <v>555</v>
      </c>
      <c r="E313" s="1" t="s">
        <v>567</v>
      </c>
      <c r="F313" s="1" t="s">
        <v>561</v>
      </c>
      <c r="G313" s="19">
        <v>5</v>
      </c>
      <c r="H313" s="19">
        <v>44</v>
      </c>
      <c r="I313" s="19">
        <v>17</v>
      </c>
      <c r="J313" s="19">
        <v>30</v>
      </c>
      <c r="K313" s="2" t="s">
        <v>321</v>
      </c>
      <c r="L313" s="2" t="s">
        <v>439</v>
      </c>
      <c r="M313" s="19">
        <v>2005</v>
      </c>
      <c r="N313" s="1" t="s">
        <v>440</v>
      </c>
      <c r="O313" s="19">
        <v>455</v>
      </c>
      <c r="P313" s="1" t="s">
        <v>18</v>
      </c>
      <c r="Q313" s="19">
        <v>3</v>
      </c>
      <c r="R313" s="19">
        <v>2</v>
      </c>
      <c r="S313" s="19">
        <v>33</v>
      </c>
      <c r="T313" s="14">
        <v>124000</v>
      </c>
      <c r="U313" s="14">
        <v>118000</v>
      </c>
      <c r="V313" s="14">
        <v>68000</v>
      </c>
      <c r="W313" s="4">
        <f t="shared" si="12"/>
        <v>-4.8387096774193547E-2</v>
      </c>
      <c r="Z313" s="11">
        <f t="shared" si="13"/>
        <v>0.57627118644067798</v>
      </c>
      <c r="AA313" s="19">
        <f t="shared" si="14"/>
        <v>50000</v>
      </c>
    </row>
    <row r="314" spans="2:27" x14ac:dyDescent="0.45">
      <c r="B314" s="7">
        <v>587</v>
      </c>
      <c r="C314" s="1" t="s">
        <v>58</v>
      </c>
      <c r="D314" s="1" t="s">
        <v>607</v>
      </c>
      <c r="E314" s="1" t="s">
        <v>615</v>
      </c>
      <c r="F314" s="1" t="s">
        <v>616</v>
      </c>
      <c r="G314" s="19">
        <v>5</v>
      </c>
      <c r="H314" s="19">
        <v>22</v>
      </c>
      <c r="I314" s="19">
        <v>32</v>
      </c>
      <c r="J314" s="19">
        <v>30</v>
      </c>
      <c r="K314" s="1" t="s">
        <v>617</v>
      </c>
      <c r="L314" s="2" t="s">
        <v>439</v>
      </c>
      <c r="M314" s="19">
        <v>2000</v>
      </c>
      <c r="N314" s="1" t="s">
        <v>434</v>
      </c>
      <c r="O314" s="19">
        <v>2001</v>
      </c>
      <c r="P314" s="1" t="s">
        <v>18</v>
      </c>
      <c r="Q314" s="19">
        <v>3</v>
      </c>
      <c r="R314" s="19">
        <v>2</v>
      </c>
      <c r="S314" s="19">
        <v>33</v>
      </c>
      <c r="T314" s="14">
        <v>132000</v>
      </c>
      <c r="U314" s="14">
        <v>118000</v>
      </c>
      <c r="V314" s="14">
        <v>44000</v>
      </c>
      <c r="W314" s="4">
        <f t="shared" si="12"/>
        <v>-0.10606060606060606</v>
      </c>
      <c r="Z314" s="11">
        <f t="shared" si="13"/>
        <v>0.3728813559322034</v>
      </c>
      <c r="AA314" s="19">
        <f t="shared" si="14"/>
        <v>74000</v>
      </c>
    </row>
    <row r="315" spans="2:27" x14ac:dyDescent="0.45">
      <c r="B315" s="7">
        <v>588</v>
      </c>
      <c r="C315" s="1" t="s">
        <v>58</v>
      </c>
      <c r="D315" s="1" t="s">
        <v>607</v>
      </c>
      <c r="E315" s="1" t="s">
        <v>615</v>
      </c>
      <c r="F315" s="1" t="s">
        <v>616</v>
      </c>
      <c r="G315" s="19">
        <v>5</v>
      </c>
      <c r="H315" s="19">
        <v>22</v>
      </c>
      <c r="I315" s="19">
        <v>32</v>
      </c>
      <c r="J315" s="19">
        <v>30</v>
      </c>
      <c r="K315" s="1" t="s">
        <v>617</v>
      </c>
      <c r="L315" s="2" t="s">
        <v>439</v>
      </c>
      <c r="M315" s="19">
        <v>2000</v>
      </c>
      <c r="N315" s="1" t="s">
        <v>434</v>
      </c>
      <c r="O315" s="19">
        <v>2001</v>
      </c>
      <c r="P315" s="1" t="s">
        <v>18</v>
      </c>
      <c r="Q315" s="19">
        <v>3</v>
      </c>
      <c r="R315" s="19">
        <v>1</v>
      </c>
      <c r="S315" s="19">
        <v>25</v>
      </c>
      <c r="T315" s="14">
        <v>99500</v>
      </c>
      <c r="U315" s="14">
        <v>118000</v>
      </c>
      <c r="V315" s="14">
        <v>57000</v>
      </c>
      <c r="W315" s="4">
        <f t="shared" si="12"/>
        <v>0.18592964824120603</v>
      </c>
      <c r="Z315" s="11">
        <f t="shared" si="13"/>
        <v>0.48305084745762711</v>
      </c>
      <c r="AA315" s="19">
        <f t="shared" si="14"/>
        <v>61000</v>
      </c>
    </row>
    <row r="316" spans="2:27" x14ac:dyDescent="0.45">
      <c r="B316" s="7">
        <v>918</v>
      </c>
      <c r="C316" s="1" t="s">
        <v>95</v>
      </c>
      <c r="D316" s="1" t="s">
        <v>781</v>
      </c>
      <c r="E316" s="1" t="s">
        <v>812</v>
      </c>
      <c r="F316" s="1" t="s">
        <v>796</v>
      </c>
      <c r="G316" s="19">
        <v>3</v>
      </c>
      <c r="H316" s="19">
        <v>47</v>
      </c>
      <c r="I316" s="19">
        <v>41</v>
      </c>
      <c r="J316" s="19">
        <v>38</v>
      </c>
      <c r="K316" s="1" t="s">
        <v>125</v>
      </c>
      <c r="L316" s="2" t="s">
        <v>453</v>
      </c>
      <c r="M316" s="19">
        <v>2019</v>
      </c>
      <c r="N316" s="1" t="s">
        <v>440</v>
      </c>
      <c r="O316" s="19">
        <v>469</v>
      </c>
      <c r="P316" s="1" t="s">
        <v>18</v>
      </c>
      <c r="Q316" s="19">
        <v>3</v>
      </c>
      <c r="R316" s="19">
        <v>2</v>
      </c>
      <c r="S316" s="19">
        <v>33</v>
      </c>
      <c r="T316" s="14">
        <v>117000</v>
      </c>
      <c r="U316" s="14">
        <v>118000</v>
      </c>
      <c r="V316" s="14">
        <v>65000</v>
      </c>
      <c r="W316" s="4">
        <f t="shared" si="12"/>
        <v>8.5470085470085479E-3</v>
      </c>
      <c r="Z316" s="11">
        <f t="shared" si="13"/>
        <v>0.55084745762711862</v>
      </c>
      <c r="AA316" s="19">
        <f t="shared" si="14"/>
        <v>53000</v>
      </c>
    </row>
    <row r="317" spans="2:27" x14ac:dyDescent="0.45">
      <c r="B317" s="7">
        <v>1705</v>
      </c>
      <c r="C317" s="1" t="s">
        <v>77</v>
      </c>
      <c r="D317" s="1" t="s">
        <v>998</v>
      </c>
      <c r="E317" s="1" t="s">
        <v>1030</v>
      </c>
      <c r="F317" s="1" t="s">
        <v>1028</v>
      </c>
      <c r="G317" s="19">
        <v>5</v>
      </c>
      <c r="H317" s="19">
        <v>50</v>
      </c>
      <c r="I317" s="19">
        <v>45</v>
      </c>
      <c r="J317" s="19">
        <v>35</v>
      </c>
      <c r="K317" s="6" t="s">
        <v>79</v>
      </c>
      <c r="L317" s="2" t="s">
        <v>439</v>
      </c>
      <c r="M317" s="19">
        <v>2010</v>
      </c>
      <c r="N317" s="1" t="s">
        <v>434</v>
      </c>
      <c r="O317" s="19">
        <v>1012</v>
      </c>
      <c r="P317" s="1" t="s">
        <v>18</v>
      </c>
      <c r="Q317" s="19">
        <v>3</v>
      </c>
      <c r="R317" s="19">
        <v>2</v>
      </c>
      <c r="S317" s="19">
        <v>25</v>
      </c>
      <c r="T317" s="14">
        <v>100700</v>
      </c>
      <c r="U317" s="14">
        <v>118000</v>
      </c>
      <c r="V317" s="14">
        <v>57000</v>
      </c>
      <c r="W317" s="4">
        <f t="shared" si="12"/>
        <v>0.17179741807348561</v>
      </c>
      <c r="Z317" s="11">
        <f t="shared" si="13"/>
        <v>0.48305084745762711</v>
      </c>
      <c r="AA317" s="19">
        <f t="shared" si="14"/>
        <v>61000</v>
      </c>
    </row>
    <row r="318" spans="2:27" x14ac:dyDescent="0.45">
      <c r="B318" s="7">
        <v>1714</v>
      </c>
      <c r="C318" s="1" t="s">
        <v>77</v>
      </c>
      <c r="D318" s="1" t="s">
        <v>998</v>
      </c>
      <c r="E318" s="1" t="s">
        <v>1031</v>
      </c>
      <c r="F318" s="1" t="s">
        <v>1028</v>
      </c>
      <c r="G318" s="19">
        <v>5</v>
      </c>
      <c r="H318" s="19">
        <v>50</v>
      </c>
      <c r="I318" s="19">
        <v>45</v>
      </c>
      <c r="J318" s="19">
        <v>35</v>
      </c>
      <c r="K318" s="1" t="s">
        <v>78</v>
      </c>
      <c r="L318" s="2" t="s">
        <v>439</v>
      </c>
      <c r="M318" s="19">
        <v>2005</v>
      </c>
      <c r="N318" s="1" t="s">
        <v>434</v>
      </c>
      <c r="O318" s="19">
        <v>1605</v>
      </c>
      <c r="P318" s="1" t="s">
        <v>18</v>
      </c>
      <c r="Q318" s="19">
        <v>3</v>
      </c>
      <c r="R318" s="19">
        <v>2</v>
      </c>
      <c r="S318" s="19">
        <v>33</v>
      </c>
      <c r="T318" s="14">
        <v>122500</v>
      </c>
      <c r="U318" s="14">
        <v>118000</v>
      </c>
      <c r="V318" s="14">
        <v>60000</v>
      </c>
      <c r="W318" s="4">
        <f t="shared" si="12"/>
        <v>-3.6734693877551024E-2</v>
      </c>
      <c r="Z318" s="11">
        <f t="shared" si="13"/>
        <v>0.50847457627118642</v>
      </c>
      <c r="AA318" s="19">
        <f t="shared" si="14"/>
        <v>58000</v>
      </c>
    </row>
    <row r="319" spans="2:27" x14ac:dyDescent="0.45">
      <c r="B319" s="7">
        <v>1955</v>
      </c>
      <c r="C319" s="1" t="s">
        <v>143</v>
      </c>
      <c r="D319" s="1" t="s">
        <v>1077</v>
      </c>
      <c r="E319" s="1" t="s">
        <v>1103</v>
      </c>
      <c r="F319" s="1" t="s">
        <v>1104</v>
      </c>
      <c r="G319" s="19">
        <v>6</v>
      </c>
      <c r="H319" s="19">
        <v>45</v>
      </c>
      <c r="I319" s="19">
        <v>25</v>
      </c>
      <c r="J319" s="19">
        <v>32</v>
      </c>
      <c r="K319" s="1" t="s">
        <v>187</v>
      </c>
      <c r="L319" s="2" t="s">
        <v>439</v>
      </c>
      <c r="M319" s="19">
        <v>2005</v>
      </c>
      <c r="N319" s="1" t="s">
        <v>434</v>
      </c>
      <c r="O319" s="19">
        <v>1067</v>
      </c>
      <c r="P319" s="1" t="s">
        <v>18</v>
      </c>
      <c r="Q319" s="19">
        <v>3</v>
      </c>
      <c r="R319" s="19">
        <v>2</v>
      </c>
      <c r="S319" s="19">
        <v>25</v>
      </c>
      <c r="T319" s="14">
        <v>110000</v>
      </c>
      <c r="U319" s="14">
        <v>118000</v>
      </c>
      <c r="V319" s="14">
        <v>57000</v>
      </c>
      <c r="W319" s="4">
        <f t="shared" si="12"/>
        <v>7.2727272727272724E-2</v>
      </c>
      <c r="Z319" s="11">
        <f t="shared" si="13"/>
        <v>0.48305084745762711</v>
      </c>
      <c r="AA319" s="19">
        <f t="shared" si="14"/>
        <v>61000</v>
      </c>
    </row>
    <row r="320" spans="2:27" x14ac:dyDescent="0.45">
      <c r="B320" s="7">
        <v>753</v>
      </c>
      <c r="C320" s="5" t="s">
        <v>248</v>
      </c>
      <c r="D320" s="5" t="s">
        <v>711</v>
      </c>
      <c r="E320" s="1" t="s">
        <v>725</v>
      </c>
      <c r="F320" s="1" t="s">
        <v>723</v>
      </c>
      <c r="G320" s="19">
        <v>2</v>
      </c>
      <c r="H320" s="19">
        <v>57</v>
      </c>
      <c r="I320" s="19">
        <v>67</v>
      </c>
      <c r="J320" s="19">
        <v>50</v>
      </c>
      <c r="K320" s="5" t="s">
        <v>383</v>
      </c>
      <c r="L320" s="2" t="s">
        <v>433</v>
      </c>
      <c r="M320" s="18">
        <v>1995</v>
      </c>
      <c r="N320" s="1" t="s">
        <v>447</v>
      </c>
      <c r="O320" s="18">
        <v>948</v>
      </c>
      <c r="P320" s="5" t="s">
        <v>18</v>
      </c>
      <c r="Q320" s="18">
        <v>3</v>
      </c>
      <c r="R320" s="18">
        <v>2</v>
      </c>
      <c r="S320" s="18">
        <v>33</v>
      </c>
      <c r="T320" s="14">
        <v>139800</v>
      </c>
      <c r="U320" s="14">
        <v>119000</v>
      </c>
      <c r="V320" s="14">
        <v>75000</v>
      </c>
      <c r="W320" s="4">
        <f t="shared" si="12"/>
        <v>-0.14878397711015737</v>
      </c>
      <c r="Z320" s="11">
        <f t="shared" si="13"/>
        <v>0.63025210084033612</v>
      </c>
      <c r="AA320" s="19">
        <f t="shared" si="14"/>
        <v>44000</v>
      </c>
    </row>
    <row r="321" spans="2:27" x14ac:dyDescent="0.45">
      <c r="B321" s="7">
        <v>1338</v>
      </c>
      <c r="C321" s="1" t="s">
        <v>2</v>
      </c>
      <c r="D321" s="1" t="s">
        <v>899</v>
      </c>
      <c r="E321" s="1" t="s">
        <v>920</v>
      </c>
      <c r="F321" s="1" t="s">
        <v>918</v>
      </c>
      <c r="G321" s="19">
        <v>8</v>
      </c>
      <c r="H321" s="19">
        <v>52</v>
      </c>
      <c r="I321" s="19">
        <v>25</v>
      </c>
      <c r="J321" s="19">
        <v>32</v>
      </c>
      <c r="K321" s="1" t="s">
        <v>3</v>
      </c>
      <c r="L321" s="2" t="s">
        <v>453</v>
      </c>
      <c r="M321" s="19">
        <v>2018</v>
      </c>
      <c r="N321" s="1" t="s">
        <v>434</v>
      </c>
      <c r="O321" s="19">
        <v>1061</v>
      </c>
      <c r="P321" s="1" t="s">
        <v>18</v>
      </c>
      <c r="Q321" s="19">
        <v>3</v>
      </c>
      <c r="R321" s="19">
        <v>2</v>
      </c>
      <c r="S321" s="19">
        <v>25</v>
      </c>
      <c r="T321" s="14">
        <v>113000</v>
      </c>
      <c r="U321" s="14">
        <v>119000</v>
      </c>
      <c r="V321" s="14">
        <v>51700</v>
      </c>
      <c r="W321" s="4">
        <f t="shared" si="12"/>
        <v>5.3097345132743362E-2</v>
      </c>
      <c r="Z321" s="11">
        <f t="shared" si="13"/>
        <v>0.43445378151260505</v>
      </c>
      <c r="AA321" s="19">
        <f t="shared" si="14"/>
        <v>67300</v>
      </c>
    </row>
    <row r="322" spans="2:27" x14ac:dyDescent="0.45">
      <c r="B322" s="7">
        <v>1985</v>
      </c>
      <c r="C322" s="1" t="s">
        <v>11</v>
      </c>
      <c r="D322" s="1" t="s">
        <v>1107</v>
      </c>
      <c r="E322" s="1" t="s">
        <v>1115</v>
      </c>
      <c r="F322" s="1" t="s">
        <v>1112</v>
      </c>
      <c r="G322" s="19">
        <v>5</v>
      </c>
      <c r="H322" s="19">
        <v>40</v>
      </c>
      <c r="I322" s="19">
        <v>12</v>
      </c>
      <c r="J322" s="19">
        <v>20</v>
      </c>
      <c r="K322" s="1" t="s">
        <v>325</v>
      </c>
      <c r="L322" s="2" t="s">
        <v>433</v>
      </c>
      <c r="M322" s="19">
        <v>1998</v>
      </c>
      <c r="N322" s="1" t="s">
        <v>447</v>
      </c>
      <c r="O322" s="19">
        <v>600</v>
      </c>
      <c r="P322" s="1" t="s">
        <v>5</v>
      </c>
      <c r="Q322" s="19">
        <v>2</v>
      </c>
      <c r="R322" s="19">
        <v>1</v>
      </c>
      <c r="S322" s="19">
        <v>25</v>
      </c>
      <c r="T322" s="14">
        <v>107000</v>
      </c>
      <c r="U322" s="14">
        <v>119000</v>
      </c>
      <c r="V322" s="14">
        <v>50000</v>
      </c>
      <c r="W322" s="4">
        <f t="shared" si="12"/>
        <v>0.11214953271028037</v>
      </c>
      <c r="Z322" s="11">
        <f t="shared" si="13"/>
        <v>0.42016806722689076</v>
      </c>
      <c r="AA322" s="19">
        <f t="shared" si="14"/>
        <v>69000</v>
      </c>
    </row>
    <row r="323" spans="2:27" x14ac:dyDescent="0.45">
      <c r="B323" s="7">
        <v>305</v>
      </c>
      <c r="C323" s="1" t="s">
        <v>198</v>
      </c>
      <c r="D323" s="1" t="s">
        <v>541</v>
      </c>
      <c r="E323" s="1" t="s">
        <v>547</v>
      </c>
      <c r="F323" s="1" t="s">
        <v>548</v>
      </c>
      <c r="G323" s="19">
        <v>6</v>
      </c>
      <c r="H323" s="19">
        <v>48</v>
      </c>
      <c r="I323" s="19">
        <v>50</v>
      </c>
      <c r="J323" s="19">
        <v>35</v>
      </c>
      <c r="K323" s="1" t="s">
        <v>204</v>
      </c>
      <c r="L323" s="2" t="s">
        <v>453</v>
      </c>
      <c r="M323" s="19">
        <v>2024</v>
      </c>
      <c r="N323" s="1" t="s">
        <v>434</v>
      </c>
      <c r="O323" s="19">
        <v>1045</v>
      </c>
      <c r="P323" s="5" t="s">
        <v>18</v>
      </c>
      <c r="Q323" s="18">
        <v>3</v>
      </c>
      <c r="R323" s="19">
        <v>2</v>
      </c>
      <c r="S323" s="18">
        <v>33</v>
      </c>
      <c r="T323" s="14">
        <v>0</v>
      </c>
      <c r="U323" s="14">
        <v>120000</v>
      </c>
      <c r="V323" s="14">
        <v>63000</v>
      </c>
      <c r="W323" s="4" t="e">
        <f t="shared" si="12"/>
        <v>#DIV/0!</v>
      </c>
      <c r="Z323" s="11">
        <f t="shared" si="13"/>
        <v>0.52500000000000002</v>
      </c>
      <c r="AA323" s="19">
        <f t="shared" si="14"/>
        <v>57000</v>
      </c>
    </row>
    <row r="324" spans="2:27" x14ac:dyDescent="0.45">
      <c r="B324" s="7">
        <v>454</v>
      </c>
      <c r="C324" s="1" t="s">
        <v>166</v>
      </c>
      <c r="D324" s="1" t="s">
        <v>555</v>
      </c>
      <c r="E324" s="1" t="s">
        <v>578</v>
      </c>
      <c r="F324" s="1" t="s">
        <v>577</v>
      </c>
      <c r="G324" s="19">
        <v>3</v>
      </c>
      <c r="H324" s="19">
        <v>49</v>
      </c>
      <c r="I324" s="19">
        <v>22</v>
      </c>
      <c r="J324" s="19">
        <v>36</v>
      </c>
      <c r="K324" s="2" t="s">
        <v>171</v>
      </c>
      <c r="L324" s="2" t="s">
        <v>439</v>
      </c>
      <c r="M324" s="19">
        <v>2008</v>
      </c>
      <c r="N324" s="1" t="s">
        <v>440</v>
      </c>
      <c r="O324" s="19">
        <v>341</v>
      </c>
      <c r="P324" s="1" t="s">
        <v>18</v>
      </c>
      <c r="Q324" s="19">
        <v>3</v>
      </c>
      <c r="R324" s="19">
        <v>2</v>
      </c>
      <c r="S324" s="19">
        <v>24</v>
      </c>
      <c r="T324" s="14">
        <v>110000</v>
      </c>
      <c r="U324" s="14">
        <v>120000</v>
      </c>
      <c r="V324" s="14">
        <v>55000</v>
      </c>
      <c r="W324" s="4">
        <f t="shared" si="12"/>
        <v>9.0909090909090912E-2</v>
      </c>
      <c r="Z324" s="11">
        <f t="shared" si="13"/>
        <v>0.45833333333333331</v>
      </c>
      <c r="AA324" s="19">
        <f t="shared" si="14"/>
        <v>65000</v>
      </c>
    </row>
    <row r="325" spans="2:27" x14ac:dyDescent="0.45">
      <c r="B325" s="7">
        <v>526</v>
      </c>
      <c r="C325" s="1" t="s">
        <v>26</v>
      </c>
      <c r="D325" s="1" t="s">
        <v>555</v>
      </c>
      <c r="E325" s="1" t="s">
        <v>595</v>
      </c>
      <c r="F325" s="1" t="s">
        <v>587</v>
      </c>
      <c r="G325" s="19">
        <v>5</v>
      </c>
      <c r="H325" s="19">
        <v>44</v>
      </c>
      <c r="I325" s="19">
        <v>20</v>
      </c>
      <c r="J325" s="19">
        <v>33</v>
      </c>
      <c r="K325" s="2" t="s">
        <v>128</v>
      </c>
      <c r="L325" s="2" t="s">
        <v>439</v>
      </c>
      <c r="M325" s="19">
        <v>2000</v>
      </c>
      <c r="N325" s="1" t="s">
        <v>440</v>
      </c>
      <c r="O325" s="19">
        <v>241</v>
      </c>
      <c r="P325" s="1" t="s">
        <v>18</v>
      </c>
      <c r="Q325" s="19">
        <v>3</v>
      </c>
      <c r="R325" s="19">
        <v>2</v>
      </c>
      <c r="S325" s="19">
        <v>33</v>
      </c>
      <c r="T325" s="14">
        <v>104000</v>
      </c>
      <c r="U325" s="14">
        <v>120000</v>
      </c>
      <c r="V325" s="14">
        <v>62000</v>
      </c>
      <c r="W325" s="4">
        <f t="shared" si="12"/>
        <v>0.15384615384615385</v>
      </c>
      <c r="Z325" s="11">
        <f t="shared" si="13"/>
        <v>0.51666666666666672</v>
      </c>
      <c r="AA325" s="19">
        <f t="shared" si="14"/>
        <v>58000</v>
      </c>
    </row>
    <row r="326" spans="2:27" x14ac:dyDescent="0.45">
      <c r="B326" s="7">
        <v>540</v>
      </c>
      <c r="C326" s="1" t="s">
        <v>86</v>
      </c>
      <c r="D326" s="1" t="s">
        <v>555</v>
      </c>
      <c r="E326" s="1" t="s">
        <v>598</v>
      </c>
      <c r="F326" s="1" t="s">
        <v>597</v>
      </c>
      <c r="G326" s="19">
        <v>2</v>
      </c>
      <c r="H326" s="19">
        <v>54</v>
      </c>
      <c r="I326" s="19">
        <v>27</v>
      </c>
      <c r="J326" s="19">
        <v>41</v>
      </c>
      <c r="K326" s="2" t="s">
        <v>599</v>
      </c>
      <c r="L326" s="2" t="s">
        <v>439</v>
      </c>
      <c r="M326" s="19">
        <v>2008</v>
      </c>
      <c r="N326" s="1" t="s">
        <v>447</v>
      </c>
      <c r="O326" s="19">
        <v>919</v>
      </c>
      <c r="P326" s="1" t="s">
        <v>18</v>
      </c>
      <c r="Q326" s="19">
        <v>3</v>
      </c>
      <c r="R326" s="19">
        <v>2</v>
      </c>
      <c r="S326" s="19">
        <v>33</v>
      </c>
      <c r="T326" s="14">
        <v>118000</v>
      </c>
      <c r="U326" s="14">
        <v>120000</v>
      </c>
      <c r="V326" s="14">
        <v>60000</v>
      </c>
      <c r="W326" s="4">
        <f t="shared" ref="W326:W389" si="15">(U326-$T326)/$T326</f>
        <v>1.6949152542372881E-2</v>
      </c>
      <c r="Z326" s="11">
        <f t="shared" ref="Z326:Z389" si="16">V326/U326</f>
        <v>0.5</v>
      </c>
      <c r="AA326" s="19">
        <f t="shared" ref="AA326:AA389" si="17">U326-V326</f>
        <v>60000</v>
      </c>
    </row>
    <row r="327" spans="2:27" x14ac:dyDescent="0.45">
      <c r="B327" s="7">
        <v>543</v>
      </c>
      <c r="C327" s="1" t="s">
        <v>86</v>
      </c>
      <c r="D327" s="1" t="s">
        <v>555</v>
      </c>
      <c r="E327" s="1" t="s">
        <v>600</v>
      </c>
      <c r="F327" s="1" t="s">
        <v>597</v>
      </c>
      <c r="G327" s="19">
        <v>7</v>
      </c>
      <c r="H327" s="19">
        <v>55</v>
      </c>
      <c r="I327" s="19">
        <v>28</v>
      </c>
      <c r="J327" s="19">
        <v>42</v>
      </c>
      <c r="K327" s="2" t="s">
        <v>87</v>
      </c>
      <c r="L327" s="2" t="s">
        <v>439</v>
      </c>
      <c r="M327" s="19">
        <v>2007</v>
      </c>
      <c r="N327" s="1" t="s">
        <v>434</v>
      </c>
      <c r="O327" s="19">
        <v>1421</v>
      </c>
      <c r="P327" s="1" t="s">
        <v>18</v>
      </c>
      <c r="Q327" s="19">
        <v>3</v>
      </c>
      <c r="R327" s="19">
        <v>2</v>
      </c>
      <c r="S327" s="19">
        <v>32</v>
      </c>
      <c r="T327" s="14">
        <v>130000</v>
      </c>
      <c r="U327" s="14">
        <v>120000</v>
      </c>
      <c r="V327" s="14">
        <v>65000</v>
      </c>
      <c r="W327" s="4">
        <f t="shared" si="15"/>
        <v>-7.6923076923076927E-2</v>
      </c>
      <c r="Z327" s="11">
        <f t="shared" si="16"/>
        <v>0.54166666666666663</v>
      </c>
      <c r="AA327" s="19">
        <f t="shared" si="17"/>
        <v>55000</v>
      </c>
    </row>
    <row r="328" spans="2:27" x14ac:dyDescent="0.45">
      <c r="B328" s="7">
        <v>579</v>
      </c>
      <c r="C328" s="1" t="s">
        <v>58</v>
      </c>
      <c r="D328" s="1" t="s">
        <v>607</v>
      </c>
      <c r="E328" s="1" t="s">
        <v>612</v>
      </c>
      <c r="F328" s="1" t="s">
        <v>613</v>
      </c>
      <c r="G328" s="19">
        <v>6</v>
      </c>
      <c r="H328" s="19">
        <v>25</v>
      </c>
      <c r="I328" s="19">
        <v>35</v>
      </c>
      <c r="J328" s="19">
        <v>32</v>
      </c>
      <c r="K328" s="1" t="s">
        <v>258</v>
      </c>
      <c r="L328" s="2" t="s">
        <v>439</v>
      </c>
      <c r="M328" s="19">
        <v>2006</v>
      </c>
      <c r="N328" s="1" t="s">
        <v>440</v>
      </c>
      <c r="O328" s="19">
        <v>374</v>
      </c>
      <c r="P328" s="1" t="s">
        <v>18</v>
      </c>
      <c r="Q328" s="19">
        <v>3</v>
      </c>
      <c r="R328" s="19">
        <v>2</v>
      </c>
      <c r="S328" s="19">
        <v>33</v>
      </c>
      <c r="T328" s="14">
        <v>110000</v>
      </c>
      <c r="U328" s="14">
        <v>120000</v>
      </c>
      <c r="V328" s="14">
        <v>67000</v>
      </c>
      <c r="W328" s="4">
        <f t="shared" si="15"/>
        <v>9.0909090909090912E-2</v>
      </c>
      <c r="Z328" s="11">
        <f t="shared" si="16"/>
        <v>0.55833333333333335</v>
      </c>
      <c r="AA328" s="19">
        <f t="shared" si="17"/>
        <v>53000</v>
      </c>
    </row>
    <row r="329" spans="2:27" x14ac:dyDescent="0.45">
      <c r="B329" s="7">
        <v>694</v>
      </c>
      <c r="C329" s="1" t="s">
        <v>52</v>
      </c>
      <c r="D329" s="1" t="s">
        <v>652</v>
      </c>
      <c r="E329" s="1" t="s">
        <v>668</v>
      </c>
      <c r="F329" s="1" t="s">
        <v>666</v>
      </c>
      <c r="G329" s="19">
        <v>6</v>
      </c>
      <c r="H329" s="19">
        <v>33</v>
      </c>
      <c r="I329" s="19">
        <v>13</v>
      </c>
      <c r="J329" s="19">
        <v>23</v>
      </c>
      <c r="K329" s="1" t="s">
        <v>300</v>
      </c>
      <c r="L329" s="2" t="s">
        <v>433</v>
      </c>
      <c r="M329" s="19">
        <v>1999</v>
      </c>
      <c r="N329" s="1" t="s">
        <v>434</v>
      </c>
      <c r="O329" s="19">
        <v>2298</v>
      </c>
      <c r="P329" s="5" t="s">
        <v>18</v>
      </c>
      <c r="Q329" s="18">
        <v>2</v>
      </c>
      <c r="R329" s="19">
        <v>1</v>
      </c>
      <c r="S329" s="18">
        <v>24</v>
      </c>
      <c r="T329" s="14">
        <v>89950</v>
      </c>
      <c r="U329" s="14">
        <v>120000</v>
      </c>
      <c r="V329" s="14">
        <v>53000</v>
      </c>
      <c r="W329" s="4">
        <f t="shared" si="15"/>
        <v>0.33407448582545857</v>
      </c>
      <c r="Z329" s="11">
        <f t="shared" si="16"/>
        <v>0.44166666666666665</v>
      </c>
      <c r="AA329" s="19">
        <f t="shared" si="17"/>
        <v>67000</v>
      </c>
    </row>
    <row r="330" spans="2:27" x14ac:dyDescent="0.45">
      <c r="B330" s="7">
        <v>695</v>
      </c>
      <c r="C330" s="1" t="s">
        <v>52</v>
      </c>
      <c r="D330" s="1" t="s">
        <v>652</v>
      </c>
      <c r="E330" s="1" t="s">
        <v>668</v>
      </c>
      <c r="F330" s="1" t="s">
        <v>666</v>
      </c>
      <c r="G330" s="19">
        <v>6</v>
      </c>
      <c r="H330" s="19">
        <v>33</v>
      </c>
      <c r="I330" s="19">
        <v>13</v>
      </c>
      <c r="J330" s="19">
        <v>23</v>
      </c>
      <c r="K330" s="1" t="s">
        <v>300</v>
      </c>
      <c r="L330" s="2" t="s">
        <v>433</v>
      </c>
      <c r="M330" s="19">
        <v>1999</v>
      </c>
      <c r="N330" s="1" t="s">
        <v>434</v>
      </c>
      <c r="O330" s="19">
        <v>2298</v>
      </c>
      <c r="P330" s="5" t="s">
        <v>5</v>
      </c>
      <c r="Q330" s="18">
        <v>3</v>
      </c>
      <c r="R330" s="19">
        <v>1</v>
      </c>
      <c r="S330" s="18">
        <v>24</v>
      </c>
      <c r="T330" s="14">
        <v>97000</v>
      </c>
      <c r="U330" s="14">
        <v>120000</v>
      </c>
      <c r="V330" s="14">
        <v>57000</v>
      </c>
      <c r="W330" s="4">
        <f t="shared" si="15"/>
        <v>0.23711340206185566</v>
      </c>
      <c r="Z330" s="11">
        <f t="shared" si="16"/>
        <v>0.47499999999999998</v>
      </c>
      <c r="AA330" s="19">
        <f t="shared" si="17"/>
        <v>63000</v>
      </c>
    </row>
    <row r="331" spans="2:27" x14ac:dyDescent="0.45">
      <c r="B331" s="7">
        <v>706</v>
      </c>
      <c r="C331" s="1" t="s">
        <v>35</v>
      </c>
      <c r="D331" s="1" t="s">
        <v>652</v>
      </c>
      <c r="E331" s="1" t="s">
        <v>678</v>
      </c>
      <c r="F331" s="1" t="s">
        <v>677</v>
      </c>
      <c r="G331" s="19">
        <v>5</v>
      </c>
      <c r="H331" s="19">
        <v>38</v>
      </c>
      <c r="I331" s="19">
        <v>18</v>
      </c>
      <c r="J331" s="19">
        <v>28</v>
      </c>
      <c r="K331" s="1" t="s">
        <v>69</v>
      </c>
      <c r="L331" s="2" t="s">
        <v>433</v>
      </c>
      <c r="M331" s="19">
        <v>1999</v>
      </c>
      <c r="N331" s="1" t="s">
        <v>447</v>
      </c>
      <c r="O331" s="19">
        <v>718</v>
      </c>
      <c r="P331" s="5" t="s">
        <v>18</v>
      </c>
      <c r="Q331" s="18">
        <v>3</v>
      </c>
      <c r="R331" s="19">
        <v>2</v>
      </c>
      <c r="S331" s="18">
        <v>33</v>
      </c>
      <c r="T331" s="14">
        <v>114000</v>
      </c>
      <c r="U331" s="14">
        <v>120000</v>
      </c>
      <c r="V331" s="14">
        <v>60000</v>
      </c>
      <c r="W331" s="4">
        <f t="shared" si="15"/>
        <v>5.2631578947368418E-2</v>
      </c>
      <c r="Z331" s="11">
        <f t="shared" si="16"/>
        <v>0.5</v>
      </c>
      <c r="AA331" s="19">
        <f t="shared" si="17"/>
        <v>60000</v>
      </c>
    </row>
    <row r="332" spans="2:27" x14ac:dyDescent="0.45">
      <c r="B332" s="7">
        <v>765</v>
      </c>
      <c r="C332" s="5" t="s">
        <v>248</v>
      </c>
      <c r="D332" s="5" t="s">
        <v>711</v>
      </c>
      <c r="E332" s="1" t="s">
        <v>735</v>
      </c>
      <c r="F332" s="1" t="s">
        <v>736</v>
      </c>
      <c r="G332" s="19">
        <v>4</v>
      </c>
      <c r="H332" s="19">
        <v>50</v>
      </c>
      <c r="I332" s="19">
        <v>62</v>
      </c>
      <c r="J332" s="19">
        <v>42</v>
      </c>
      <c r="K332" s="5" t="s">
        <v>249</v>
      </c>
      <c r="L332" s="2" t="s">
        <v>453</v>
      </c>
      <c r="M332" s="18">
        <v>2020</v>
      </c>
      <c r="N332" s="1" t="s">
        <v>434</v>
      </c>
      <c r="O332" s="18">
        <v>1062</v>
      </c>
      <c r="P332" s="5" t="s">
        <v>18</v>
      </c>
      <c r="Q332" s="18">
        <v>3</v>
      </c>
      <c r="R332" s="18">
        <v>2</v>
      </c>
      <c r="S332" s="18">
        <v>29</v>
      </c>
      <c r="T332" s="14">
        <v>125500</v>
      </c>
      <c r="U332" s="14">
        <v>120000</v>
      </c>
      <c r="V332" s="14">
        <v>64000</v>
      </c>
      <c r="W332" s="4">
        <f t="shared" si="15"/>
        <v>-4.3824701195219126E-2</v>
      </c>
      <c r="Z332" s="11">
        <f t="shared" si="16"/>
        <v>0.53333333333333333</v>
      </c>
      <c r="AA332" s="19">
        <f t="shared" si="17"/>
        <v>56000</v>
      </c>
    </row>
    <row r="333" spans="2:27" x14ac:dyDescent="0.45">
      <c r="B333" s="7">
        <v>784</v>
      </c>
      <c r="C333" s="5" t="s">
        <v>726</v>
      </c>
      <c r="D333" s="5" t="s">
        <v>711</v>
      </c>
      <c r="E333" s="1" t="s">
        <v>745</v>
      </c>
      <c r="F333" s="1" t="s">
        <v>746</v>
      </c>
      <c r="G333" s="19">
        <v>6</v>
      </c>
      <c r="H333" s="19">
        <v>40</v>
      </c>
      <c r="I333" s="19">
        <v>50</v>
      </c>
      <c r="J333" s="19">
        <v>45</v>
      </c>
      <c r="K333" s="5" t="s">
        <v>747</v>
      </c>
      <c r="L333" s="2" t="s">
        <v>453</v>
      </c>
      <c r="M333" s="18">
        <v>2022</v>
      </c>
      <c r="N333" s="1" t="s">
        <v>434</v>
      </c>
      <c r="O333" s="18">
        <v>1308</v>
      </c>
      <c r="P333" s="5" t="s">
        <v>18</v>
      </c>
      <c r="Q333" s="18">
        <v>3</v>
      </c>
      <c r="R333" s="18">
        <v>2</v>
      </c>
      <c r="S333" s="18">
        <v>33</v>
      </c>
      <c r="T333" s="14">
        <v>135000</v>
      </c>
      <c r="U333" s="14">
        <v>120000</v>
      </c>
      <c r="V333" s="14">
        <v>68000</v>
      </c>
      <c r="W333" s="4">
        <f t="shared" si="15"/>
        <v>-0.1111111111111111</v>
      </c>
      <c r="Z333" s="11">
        <f t="shared" si="16"/>
        <v>0.56666666666666665</v>
      </c>
      <c r="AA333" s="19">
        <f t="shared" si="17"/>
        <v>52000</v>
      </c>
    </row>
    <row r="334" spans="2:27" x14ac:dyDescent="0.45">
      <c r="B334" s="7">
        <v>858</v>
      </c>
      <c r="C334" s="1" t="s">
        <v>20</v>
      </c>
      <c r="D334" s="1" t="s">
        <v>781</v>
      </c>
      <c r="E334" s="1" t="s">
        <v>791</v>
      </c>
      <c r="F334" s="1" t="s">
        <v>783</v>
      </c>
      <c r="G334" s="19">
        <v>3</v>
      </c>
      <c r="H334" s="19">
        <v>32</v>
      </c>
      <c r="I334" s="19">
        <v>28</v>
      </c>
      <c r="J334" s="19">
        <v>25</v>
      </c>
      <c r="K334" s="1" t="s">
        <v>402</v>
      </c>
      <c r="L334" s="2" t="s">
        <v>439</v>
      </c>
      <c r="M334" s="19">
        <v>2010</v>
      </c>
      <c r="N334" s="1" t="s">
        <v>447</v>
      </c>
      <c r="O334" s="19">
        <v>725</v>
      </c>
      <c r="P334" s="1" t="s">
        <v>18</v>
      </c>
      <c r="Q334" s="19">
        <v>3</v>
      </c>
      <c r="R334" s="19">
        <v>2</v>
      </c>
      <c r="S334" s="19">
        <v>29</v>
      </c>
      <c r="T334" s="14">
        <v>127000</v>
      </c>
      <c r="U334" s="14">
        <v>120000</v>
      </c>
      <c r="V334" s="14">
        <v>68000</v>
      </c>
      <c r="W334" s="4">
        <f t="shared" si="15"/>
        <v>-5.5118110236220472E-2</v>
      </c>
      <c r="Z334" s="11">
        <f t="shared" si="16"/>
        <v>0.56666666666666665</v>
      </c>
      <c r="AA334" s="19">
        <f t="shared" si="17"/>
        <v>52000</v>
      </c>
    </row>
    <row r="335" spans="2:27" x14ac:dyDescent="0.45">
      <c r="B335" s="7">
        <v>891</v>
      </c>
      <c r="C335" s="1" t="s">
        <v>95</v>
      </c>
      <c r="D335" s="1" t="s">
        <v>781</v>
      </c>
      <c r="E335" s="1" t="s">
        <v>806</v>
      </c>
      <c r="F335" s="1" t="s">
        <v>805</v>
      </c>
      <c r="G335" s="19">
        <v>6</v>
      </c>
      <c r="H335" s="19">
        <v>50</v>
      </c>
      <c r="I335" s="19">
        <v>44</v>
      </c>
      <c r="J335" s="19">
        <v>40</v>
      </c>
      <c r="K335" s="1" t="s">
        <v>352</v>
      </c>
      <c r="L335" s="2" t="s">
        <v>439</v>
      </c>
      <c r="M335" s="19">
        <v>2004</v>
      </c>
      <c r="N335" s="1" t="s">
        <v>447</v>
      </c>
      <c r="O335" s="19">
        <v>648</v>
      </c>
      <c r="P335" s="1" t="s">
        <v>18</v>
      </c>
      <c r="Q335" s="19">
        <v>3</v>
      </c>
      <c r="R335" s="19">
        <v>2</v>
      </c>
      <c r="S335" s="19">
        <v>33</v>
      </c>
      <c r="T335" s="14">
        <v>99500</v>
      </c>
      <c r="U335" s="14">
        <v>120000</v>
      </c>
      <c r="V335" s="14">
        <v>57000</v>
      </c>
      <c r="W335" s="4">
        <f t="shared" si="15"/>
        <v>0.20603015075376885</v>
      </c>
      <c r="Z335" s="11">
        <f t="shared" si="16"/>
        <v>0.47499999999999998</v>
      </c>
      <c r="AA335" s="19">
        <f t="shared" si="17"/>
        <v>63000</v>
      </c>
    </row>
    <row r="336" spans="2:27" x14ac:dyDescent="0.45">
      <c r="B336" s="7">
        <v>1016</v>
      </c>
      <c r="C336" s="1" t="s">
        <v>14</v>
      </c>
      <c r="D336" s="1" t="s">
        <v>816</v>
      </c>
      <c r="E336" s="1" t="s">
        <v>841</v>
      </c>
      <c r="F336" s="1" t="s">
        <v>842</v>
      </c>
      <c r="G336" s="19">
        <v>6</v>
      </c>
      <c r="H336" s="19">
        <v>22</v>
      </c>
      <c r="I336" s="19">
        <v>28</v>
      </c>
      <c r="J336" s="19">
        <v>35</v>
      </c>
      <c r="K336" s="2" t="s">
        <v>252</v>
      </c>
      <c r="L336" s="2" t="s">
        <v>439</v>
      </c>
      <c r="M336" s="19">
        <v>2003</v>
      </c>
      <c r="N336" s="1" t="s">
        <v>447</v>
      </c>
      <c r="O336" s="19">
        <v>544</v>
      </c>
      <c r="P336" s="1" t="s">
        <v>18</v>
      </c>
      <c r="Q336" s="19">
        <v>3</v>
      </c>
      <c r="R336" s="19">
        <v>1</v>
      </c>
      <c r="S336" s="19">
        <v>22</v>
      </c>
      <c r="T336" s="14">
        <v>95000</v>
      </c>
      <c r="U336" s="14">
        <v>120000</v>
      </c>
      <c r="V336" s="14">
        <v>65000</v>
      </c>
      <c r="W336" s="4">
        <f t="shared" si="15"/>
        <v>0.26315789473684209</v>
      </c>
      <c r="Z336" s="11">
        <f t="shared" si="16"/>
        <v>0.54166666666666663</v>
      </c>
      <c r="AA336" s="19">
        <f t="shared" si="17"/>
        <v>55000</v>
      </c>
    </row>
    <row r="337" spans="2:27" x14ac:dyDescent="0.45">
      <c r="B337" s="7">
        <v>1262</v>
      </c>
      <c r="C337" s="1" t="s">
        <v>2</v>
      </c>
      <c r="D337" s="1" t="s">
        <v>899</v>
      </c>
      <c r="E337" s="1" t="s">
        <v>905</v>
      </c>
      <c r="F337" s="1" t="s">
        <v>902</v>
      </c>
      <c r="G337" s="19">
        <v>10</v>
      </c>
      <c r="H337" s="19">
        <v>45</v>
      </c>
      <c r="I337" s="19">
        <v>32</v>
      </c>
      <c r="J337" s="19">
        <v>15</v>
      </c>
      <c r="K337" s="1" t="s">
        <v>906</v>
      </c>
      <c r="L337" s="2" t="s">
        <v>453</v>
      </c>
      <c r="M337" s="19">
        <v>2020</v>
      </c>
      <c r="N337" s="1" t="s">
        <v>447</v>
      </c>
      <c r="O337" s="19">
        <v>906</v>
      </c>
      <c r="P337" s="1" t="s">
        <v>18</v>
      </c>
      <c r="Q337" s="19">
        <v>3</v>
      </c>
      <c r="R337" s="19">
        <v>2</v>
      </c>
      <c r="S337" s="19">
        <v>25</v>
      </c>
      <c r="T337" s="14">
        <v>120000</v>
      </c>
      <c r="U337" s="14">
        <v>120000</v>
      </c>
      <c r="V337" s="14">
        <v>65000</v>
      </c>
      <c r="W337" s="4">
        <f t="shared" si="15"/>
        <v>0</v>
      </c>
      <c r="Z337" s="11">
        <f t="shared" si="16"/>
        <v>0.54166666666666663</v>
      </c>
      <c r="AA337" s="19">
        <f t="shared" si="17"/>
        <v>55000</v>
      </c>
    </row>
    <row r="338" spans="2:27" x14ac:dyDescent="0.45">
      <c r="B338" s="7">
        <v>1319</v>
      </c>
      <c r="C338" s="1" t="s">
        <v>2</v>
      </c>
      <c r="D338" s="1" t="s">
        <v>899</v>
      </c>
      <c r="E338" s="1" t="s">
        <v>923</v>
      </c>
      <c r="F338" s="1" t="s">
        <v>919</v>
      </c>
      <c r="G338" s="19">
        <v>6</v>
      </c>
      <c r="H338" s="19">
        <v>40</v>
      </c>
      <c r="I338" s="19">
        <v>28</v>
      </c>
      <c r="J338" s="19">
        <v>10</v>
      </c>
      <c r="K338" s="1" t="s">
        <v>119</v>
      </c>
      <c r="L338" s="2" t="s">
        <v>433</v>
      </c>
      <c r="M338" s="19">
        <v>1998</v>
      </c>
      <c r="N338" s="1" t="s">
        <v>434</v>
      </c>
      <c r="O338" s="19">
        <v>1300</v>
      </c>
      <c r="P338" s="1" t="s">
        <v>18</v>
      </c>
      <c r="Q338" s="19">
        <v>3</v>
      </c>
      <c r="R338" s="19">
        <v>1</v>
      </c>
      <c r="S338" s="19">
        <v>25</v>
      </c>
      <c r="T338" s="14">
        <v>109000</v>
      </c>
      <c r="U338" s="14">
        <v>120000</v>
      </c>
      <c r="V338" s="14">
        <v>55000</v>
      </c>
      <c r="W338" s="4">
        <f t="shared" si="15"/>
        <v>0.10091743119266056</v>
      </c>
      <c r="Z338" s="11">
        <f t="shared" si="16"/>
        <v>0.45833333333333331</v>
      </c>
      <c r="AA338" s="19">
        <f t="shared" si="17"/>
        <v>65000</v>
      </c>
    </row>
    <row r="339" spans="2:27" x14ac:dyDescent="0.45">
      <c r="B339" s="7">
        <v>1636</v>
      </c>
      <c r="C339" s="1" t="s">
        <v>77</v>
      </c>
      <c r="D339" s="1" t="s">
        <v>998</v>
      </c>
      <c r="E339" s="1" t="s">
        <v>1014</v>
      </c>
      <c r="F339" s="1" t="s">
        <v>1015</v>
      </c>
      <c r="G339" s="19">
        <v>8</v>
      </c>
      <c r="H339" s="19">
        <v>42</v>
      </c>
      <c r="I339" s="19">
        <v>35</v>
      </c>
      <c r="J339" s="19">
        <v>20</v>
      </c>
      <c r="K339" s="6" t="s">
        <v>223</v>
      </c>
      <c r="L339" s="2" t="s">
        <v>453</v>
      </c>
      <c r="M339" s="19">
        <v>2017</v>
      </c>
      <c r="N339" s="1" t="s">
        <v>434</v>
      </c>
      <c r="O339" s="19">
        <v>1186</v>
      </c>
      <c r="P339" s="1" t="s">
        <v>18</v>
      </c>
      <c r="Q339" s="19">
        <v>3</v>
      </c>
      <c r="R339" s="19">
        <v>2</v>
      </c>
      <c r="S339" s="19">
        <v>29</v>
      </c>
      <c r="T339" s="14">
        <v>119000</v>
      </c>
      <c r="U339" s="14">
        <v>120000</v>
      </c>
      <c r="V339" s="14">
        <v>65000</v>
      </c>
      <c r="W339" s="4">
        <f t="shared" si="15"/>
        <v>8.4033613445378148E-3</v>
      </c>
      <c r="Z339" s="11">
        <f t="shared" si="16"/>
        <v>0.54166666666666663</v>
      </c>
      <c r="AA339" s="19">
        <f t="shared" si="17"/>
        <v>55000</v>
      </c>
    </row>
    <row r="340" spans="2:27" x14ac:dyDescent="0.45">
      <c r="B340" s="7">
        <v>2318</v>
      </c>
      <c r="C340" s="5" t="s">
        <v>178</v>
      </c>
      <c r="D340" s="5" t="s">
        <v>1204</v>
      </c>
      <c r="E340" s="1" t="s">
        <v>1216</v>
      </c>
      <c r="F340" s="1" t="s">
        <v>1217</v>
      </c>
      <c r="G340" s="19">
        <v>5</v>
      </c>
      <c r="H340" s="19">
        <v>50</v>
      </c>
      <c r="I340" s="19">
        <v>60</v>
      </c>
      <c r="J340" s="19">
        <v>45</v>
      </c>
      <c r="K340" s="5" t="s">
        <v>195</v>
      </c>
      <c r="L340" s="2" t="s">
        <v>453</v>
      </c>
      <c r="M340" s="18">
        <v>2017</v>
      </c>
      <c r="N340" s="1" t="s">
        <v>447</v>
      </c>
      <c r="O340" s="18">
        <v>719</v>
      </c>
      <c r="P340" s="5" t="s">
        <v>18</v>
      </c>
      <c r="Q340" s="18">
        <v>3</v>
      </c>
      <c r="R340" s="18">
        <v>2</v>
      </c>
      <c r="S340" s="18">
        <v>33</v>
      </c>
      <c r="T340" s="14">
        <v>119500</v>
      </c>
      <c r="U340" s="14">
        <v>120000</v>
      </c>
      <c r="V340" s="14">
        <v>64000</v>
      </c>
      <c r="W340" s="4">
        <f t="shared" si="15"/>
        <v>4.1841004184100415E-3</v>
      </c>
      <c r="Z340" s="11">
        <f t="shared" si="16"/>
        <v>0.53333333333333333</v>
      </c>
      <c r="AA340" s="19">
        <f t="shared" si="17"/>
        <v>56000</v>
      </c>
    </row>
    <row r="341" spans="2:27" x14ac:dyDescent="0.45">
      <c r="B341" s="7">
        <v>2322</v>
      </c>
      <c r="C341" s="5" t="s">
        <v>182</v>
      </c>
      <c r="D341" s="5" t="s">
        <v>1204</v>
      </c>
      <c r="E341" s="1" t="s">
        <v>1220</v>
      </c>
      <c r="F341" s="1" t="s">
        <v>1221</v>
      </c>
      <c r="G341" s="19">
        <v>8</v>
      </c>
      <c r="H341" s="19">
        <v>40</v>
      </c>
      <c r="I341" s="19">
        <v>55</v>
      </c>
      <c r="J341" s="19">
        <v>45</v>
      </c>
      <c r="K341" s="5" t="s">
        <v>183</v>
      </c>
      <c r="L341" s="2" t="s">
        <v>453</v>
      </c>
      <c r="M341" s="18">
        <v>2020</v>
      </c>
      <c r="N341" s="1" t="s">
        <v>434</v>
      </c>
      <c r="O341" s="18">
        <v>1505</v>
      </c>
      <c r="P341" s="5" t="s">
        <v>18</v>
      </c>
      <c r="Q341" s="18">
        <v>3</v>
      </c>
      <c r="R341" s="18">
        <v>2</v>
      </c>
      <c r="S341" s="18">
        <v>24</v>
      </c>
      <c r="T341" s="14">
        <v>113500</v>
      </c>
      <c r="U341" s="14">
        <v>120000</v>
      </c>
      <c r="V341" s="14">
        <v>68000</v>
      </c>
      <c r="W341" s="4">
        <f t="shared" si="15"/>
        <v>5.7268722466960353E-2</v>
      </c>
      <c r="Z341" s="11">
        <f t="shared" si="16"/>
        <v>0.56666666666666665</v>
      </c>
      <c r="AA341" s="19">
        <f t="shared" si="17"/>
        <v>52000</v>
      </c>
    </row>
    <row r="342" spans="2:27" x14ac:dyDescent="0.45">
      <c r="B342" s="7">
        <v>531</v>
      </c>
      <c r="C342" s="1" t="s">
        <v>26</v>
      </c>
      <c r="D342" s="1" t="s">
        <v>555</v>
      </c>
      <c r="E342" s="1" t="s">
        <v>596</v>
      </c>
      <c r="F342" s="1" t="s">
        <v>588</v>
      </c>
      <c r="G342" s="19">
        <v>8</v>
      </c>
      <c r="H342" s="19">
        <v>44</v>
      </c>
      <c r="I342" s="19">
        <v>18</v>
      </c>
      <c r="J342" s="19">
        <v>31</v>
      </c>
      <c r="K342" s="2" t="s">
        <v>127</v>
      </c>
      <c r="L342" s="2" t="s">
        <v>453</v>
      </c>
      <c r="M342" s="19">
        <v>2022</v>
      </c>
      <c r="N342" s="1" t="s">
        <v>440</v>
      </c>
      <c r="O342" s="19">
        <v>220</v>
      </c>
      <c r="P342" s="1" t="s">
        <v>18</v>
      </c>
      <c r="Q342" s="19">
        <v>3</v>
      </c>
      <c r="R342" s="19">
        <v>2</v>
      </c>
      <c r="S342" s="19">
        <v>31</v>
      </c>
      <c r="T342" s="14">
        <v>0</v>
      </c>
      <c r="U342" s="14">
        <v>121000</v>
      </c>
      <c r="V342" s="14">
        <v>80000</v>
      </c>
      <c r="W342" s="4" t="e">
        <f t="shared" si="15"/>
        <v>#DIV/0!</v>
      </c>
      <c r="Z342" s="11">
        <f t="shared" si="16"/>
        <v>0.66115702479338845</v>
      </c>
      <c r="AA342" s="19">
        <f t="shared" si="17"/>
        <v>41000</v>
      </c>
    </row>
    <row r="343" spans="2:27" x14ac:dyDescent="0.45">
      <c r="B343" s="7">
        <v>1617</v>
      </c>
      <c r="C343" s="1" t="s">
        <v>77</v>
      </c>
      <c r="D343" s="1" t="s">
        <v>998</v>
      </c>
      <c r="E343" s="1" t="s">
        <v>1008</v>
      </c>
      <c r="F343" s="1" t="s">
        <v>1009</v>
      </c>
      <c r="G343" s="19">
        <v>5</v>
      </c>
      <c r="H343" s="19">
        <v>50</v>
      </c>
      <c r="I343" s="19">
        <v>45</v>
      </c>
      <c r="J343" s="19">
        <v>38</v>
      </c>
      <c r="K343" s="6" t="s">
        <v>376</v>
      </c>
      <c r="L343" s="2" t="s">
        <v>453</v>
      </c>
      <c r="M343" s="19">
        <v>2025</v>
      </c>
      <c r="N343" s="1" t="s">
        <v>434</v>
      </c>
      <c r="O343" s="19">
        <v>2840</v>
      </c>
      <c r="P343" s="1" t="s">
        <v>18</v>
      </c>
      <c r="Q343" s="19">
        <v>3</v>
      </c>
      <c r="R343" s="19">
        <v>2</v>
      </c>
      <c r="S343" s="19">
        <v>25</v>
      </c>
      <c r="T343" s="14">
        <v>0</v>
      </c>
      <c r="U343" s="14">
        <v>122000</v>
      </c>
      <c r="V343" s="14">
        <v>50000</v>
      </c>
      <c r="W343" s="4" t="e">
        <f t="shared" si="15"/>
        <v>#DIV/0!</v>
      </c>
      <c r="Z343" s="11">
        <f t="shared" si="16"/>
        <v>0.4098360655737705</v>
      </c>
      <c r="AA343" s="19">
        <f t="shared" si="17"/>
        <v>72000</v>
      </c>
    </row>
    <row r="344" spans="2:27" x14ac:dyDescent="0.45">
      <c r="B344" s="7">
        <v>1330</v>
      </c>
      <c r="C344" s="1" t="s">
        <v>0</v>
      </c>
      <c r="D344" s="1" t="s">
        <v>899</v>
      </c>
      <c r="E344" s="1" t="s">
        <v>921</v>
      </c>
      <c r="F344" s="1" t="s">
        <v>924</v>
      </c>
      <c r="G344" s="19">
        <v>5</v>
      </c>
      <c r="H344" s="19">
        <v>50</v>
      </c>
      <c r="I344" s="19">
        <v>22</v>
      </c>
      <c r="J344" s="19">
        <v>32</v>
      </c>
      <c r="K344" s="1" t="s">
        <v>926</v>
      </c>
      <c r="L344" s="2" t="s">
        <v>439</v>
      </c>
      <c r="M344" s="19">
        <v>2015</v>
      </c>
      <c r="N344" s="1" t="s">
        <v>434</v>
      </c>
      <c r="O344" s="19">
        <v>4300</v>
      </c>
      <c r="P344" s="1" t="s">
        <v>18</v>
      </c>
      <c r="Q344" s="19">
        <v>3</v>
      </c>
      <c r="R344" s="19">
        <v>2</v>
      </c>
      <c r="S344" s="19">
        <v>25</v>
      </c>
      <c r="T344" s="14">
        <v>116000</v>
      </c>
      <c r="U344" s="14">
        <v>122500</v>
      </c>
      <c r="V344" s="14">
        <v>65000</v>
      </c>
      <c r="W344" s="4">
        <f t="shared" si="15"/>
        <v>5.6034482758620691E-2</v>
      </c>
      <c r="Z344" s="11">
        <f t="shared" si="16"/>
        <v>0.53061224489795922</v>
      </c>
      <c r="AA344" s="19">
        <f t="shared" si="17"/>
        <v>57500</v>
      </c>
    </row>
    <row r="345" spans="2:27" x14ac:dyDescent="0.45">
      <c r="B345" s="7">
        <v>521</v>
      </c>
      <c r="C345" s="1" t="s">
        <v>26</v>
      </c>
      <c r="D345" s="1" t="s">
        <v>555</v>
      </c>
      <c r="E345" s="1" t="s">
        <v>594</v>
      </c>
      <c r="F345" s="1" t="s">
        <v>587</v>
      </c>
      <c r="G345" s="19">
        <v>8</v>
      </c>
      <c r="H345" s="19">
        <v>48</v>
      </c>
      <c r="I345" s="19">
        <v>24</v>
      </c>
      <c r="J345" s="19">
        <v>36</v>
      </c>
      <c r="K345" s="2" t="s">
        <v>129</v>
      </c>
      <c r="L345" s="2" t="s">
        <v>433</v>
      </c>
      <c r="M345" s="19">
        <v>1995</v>
      </c>
      <c r="N345" s="1" t="s">
        <v>447</v>
      </c>
      <c r="O345" s="19">
        <v>680</v>
      </c>
      <c r="P345" s="1" t="s">
        <v>18</v>
      </c>
      <c r="Q345" s="19">
        <v>3</v>
      </c>
      <c r="R345" s="19">
        <v>2</v>
      </c>
      <c r="S345" s="19">
        <v>34</v>
      </c>
      <c r="T345" s="14">
        <v>134000</v>
      </c>
      <c r="U345" s="14">
        <v>123000</v>
      </c>
      <c r="V345" s="14">
        <v>56000</v>
      </c>
      <c r="W345" s="4">
        <f t="shared" si="15"/>
        <v>-8.2089552238805971E-2</v>
      </c>
      <c r="Z345" s="11">
        <f t="shared" si="16"/>
        <v>0.45528455284552843</v>
      </c>
      <c r="AA345" s="19">
        <f t="shared" si="17"/>
        <v>67000</v>
      </c>
    </row>
    <row r="346" spans="2:27" x14ac:dyDescent="0.45">
      <c r="B346" s="7">
        <v>1059</v>
      </c>
      <c r="C346" s="1" t="s">
        <v>89</v>
      </c>
      <c r="D346" s="1" t="s">
        <v>816</v>
      </c>
      <c r="E346" s="1" t="s">
        <v>852</v>
      </c>
      <c r="F346" s="1" t="s">
        <v>853</v>
      </c>
      <c r="G346" s="19">
        <v>6</v>
      </c>
      <c r="H346" s="19">
        <v>20</v>
      </c>
      <c r="I346" s="19">
        <v>25</v>
      </c>
      <c r="J346" s="19">
        <v>32</v>
      </c>
      <c r="K346" s="2" t="s">
        <v>234</v>
      </c>
      <c r="L346" s="2" t="s">
        <v>433</v>
      </c>
      <c r="M346" s="19">
        <v>1993</v>
      </c>
      <c r="N346" s="1" t="s">
        <v>434</v>
      </c>
      <c r="O346" s="19">
        <v>1080</v>
      </c>
      <c r="P346" s="1" t="s">
        <v>5</v>
      </c>
      <c r="Q346" s="19">
        <v>2</v>
      </c>
      <c r="R346" s="19">
        <v>1</v>
      </c>
      <c r="S346" s="19">
        <v>18</v>
      </c>
      <c r="T346" s="14">
        <v>91000</v>
      </c>
      <c r="U346" s="14">
        <v>123000</v>
      </c>
      <c r="V346" s="14">
        <v>45000</v>
      </c>
      <c r="W346" s="4">
        <f t="shared" si="15"/>
        <v>0.35164835164835168</v>
      </c>
      <c r="Z346" s="11">
        <f t="shared" si="16"/>
        <v>0.36585365853658536</v>
      </c>
      <c r="AA346" s="19">
        <f t="shared" si="17"/>
        <v>78000</v>
      </c>
    </row>
    <row r="347" spans="2:27" x14ac:dyDescent="0.45">
      <c r="B347" s="7">
        <v>1493</v>
      </c>
      <c r="C347" s="1" t="s">
        <v>76</v>
      </c>
      <c r="D347" s="1" t="s">
        <v>964</v>
      </c>
      <c r="E347" s="1" t="s">
        <v>973</v>
      </c>
      <c r="F347" s="1" t="s">
        <v>974</v>
      </c>
      <c r="G347" s="19">
        <v>5</v>
      </c>
      <c r="H347" s="19">
        <v>28</v>
      </c>
      <c r="I347" s="19">
        <v>30</v>
      </c>
      <c r="J347" s="19">
        <v>25</v>
      </c>
      <c r="K347" s="1" t="s">
        <v>345</v>
      </c>
      <c r="L347" s="2" t="s">
        <v>433</v>
      </c>
      <c r="M347" s="19">
        <v>1996</v>
      </c>
      <c r="N347" s="1" t="s">
        <v>440</v>
      </c>
      <c r="O347" s="19">
        <v>434</v>
      </c>
      <c r="P347" s="1" t="s">
        <v>5</v>
      </c>
      <c r="Q347" s="19">
        <v>2</v>
      </c>
      <c r="R347" s="19">
        <v>1</v>
      </c>
      <c r="S347" s="19">
        <v>25</v>
      </c>
      <c r="T347" s="14">
        <v>106000</v>
      </c>
      <c r="U347" s="14">
        <v>123000</v>
      </c>
      <c r="V347" s="14">
        <v>45000</v>
      </c>
      <c r="W347" s="4">
        <f t="shared" si="15"/>
        <v>0.16037735849056603</v>
      </c>
      <c r="Z347" s="11">
        <f t="shared" si="16"/>
        <v>0.36585365853658536</v>
      </c>
      <c r="AA347" s="19">
        <f t="shared" si="17"/>
        <v>78000</v>
      </c>
    </row>
    <row r="348" spans="2:27" x14ac:dyDescent="0.45">
      <c r="B348" s="7">
        <v>2009</v>
      </c>
      <c r="C348" s="1" t="s">
        <v>11</v>
      </c>
      <c r="D348" s="1" t="s">
        <v>1107</v>
      </c>
      <c r="E348" s="1" t="s">
        <v>1124</v>
      </c>
      <c r="F348" s="1" t="s">
        <v>832</v>
      </c>
      <c r="G348" s="19">
        <v>6</v>
      </c>
      <c r="H348" s="19">
        <v>38</v>
      </c>
      <c r="I348" s="19">
        <v>18</v>
      </c>
      <c r="J348" s="19">
        <v>28</v>
      </c>
      <c r="K348" s="1" t="s">
        <v>290</v>
      </c>
      <c r="L348" s="2" t="s">
        <v>433</v>
      </c>
      <c r="M348" s="19">
        <v>1997</v>
      </c>
      <c r="N348" s="1" t="s">
        <v>434</v>
      </c>
      <c r="O348" s="19">
        <v>1174</v>
      </c>
      <c r="P348" s="1" t="s">
        <v>18</v>
      </c>
      <c r="Q348" s="19">
        <v>3</v>
      </c>
      <c r="R348" s="19">
        <v>1</v>
      </c>
      <c r="S348" s="19">
        <v>25</v>
      </c>
      <c r="T348" s="14">
        <v>99000</v>
      </c>
      <c r="U348" s="14">
        <v>123000</v>
      </c>
      <c r="V348" s="14">
        <v>53000</v>
      </c>
      <c r="W348" s="4">
        <f t="shared" si="15"/>
        <v>0.24242424242424243</v>
      </c>
      <c r="Z348" s="11">
        <f t="shared" si="16"/>
        <v>0.43089430894308944</v>
      </c>
      <c r="AA348" s="19">
        <f t="shared" si="17"/>
        <v>70000</v>
      </c>
    </row>
    <row r="349" spans="2:27" x14ac:dyDescent="0.45">
      <c r="B349" s="7">
        <v>2215</v>
      </c>
      <c r="C349" s="1" t="s">
        <v>92</v>
      </c>
      <c r="D349" s="1" t="s">
        <v>1150</v>
      </c>
      <c r="E349" s="1" t="s">
        <v>1171</v>
      </c>
      <c r="F349" s="1" t="s">
        <v>1168</v>
      </c>
      <c r="G349" s="19">
        <v>8</v>
      </c>
      <c r="H349" s="19">
        <v>52</v>
      </c>
      <c r="I349" s="19">
        <v>25</v>
      </c>
      <c r="J349" s="19">
        <v>30</v>
      </c>
      <c r="K349" s="2" t="s">
        <v>279</v>
      </c>
      <c r="L349" s="2" t="s">
        <v>453</v>
      </c>
      <c r="M349" s="19">
        <v>2021</v>
      </c>
      <c r="N349" s="1" t="s">
        <v>434</v>
      </c>
      <c r="O349" s="19">
        <v>1192</v>
      </c>
      <c r="P349" s="1" t="s">
        <v>18</v>
      </c>
      <c r="Q349" s="19">
        <v>3</v>
      </c>
      <c r="R349" s="19">
        <v>2</v>
      </c>
      <c r="S349" s="19">
        <v>33</v>
      </c>
      <c r="T349" s="14">
        <v>129800</v>
      </c>
      <c r="U349" s="14">
        <v>123000</v>
      </c>
      <c r="V349" s="14">
        <v>70000</v>
      </c>
      <c r="W349" s="4">
        <f t="shared" si="15"/>
        <v>-5.2388289676425268E-2</v>
      </c>
      <c r="Z349" s="11">
        <f t="shared" si="16"/>
        <v>0.56910569105691056</v>
      </c>
      <c r="AA349" s="19">
        <f t="shared" si="17"/>
        <v>53000</v>
      </c>
    </row>
    <row r="350" spans="2:27" x14ac:dyDescent="0.45">
      <c r="B350" s="7">
        <v>2294</v>
      </c>
      <c r="C350" s="1" t="s">
        <v>295</v>
      </c>
      <c r="D350" s="1" t="s">
        <v>1194</v>
      </c>
      <c r="E350" s="1" t="s">
        <v>1201</v>
      </c>
      <c r="F350" s="1" t="s">
        <v>1200</v>
      </c>
      <c r="G350" s="19">
        <v>4</v>
      </c>
      <c r="H350" s="19">
        <v>40</v>
      </c>
      <c r="I350" s="19">
        <v>40</v>
      </c>
      <c r="J350" s="19">
        <v>20</v>
      </c>
      <c r="K350" s="1" t="s">
        <v>296</v>
      </c>
      <c r="L350" s="2" t="s">
        <v>433</v>
      </c>
      <c r="M350" s="19">
        <v>1999</v>
      </c>
      <c r="N350" s="1" t="s">
        <v>447</v>
      </c>
      <c r="O350" s="19">
        <v>994</v>
      </c>
      <c r="P350" s="1" t="s">
        <v>18</v>
      </c>
      <c r="Q350" s="19">
        <v>3</v>
      </c>
      <c r="R350" s="19">
        <v>2</v>
      </c>
      <c r="S350" s="19">
        <v>33</v>
      </c>
      <c r="T350" s="14">
        <v>128000</v>
      </c>
      <c r="U350" s="14">
        <v>124000</v>
      </c>
      <c r="V350" s="14">
        <v>67000</v>
      </c>
      <c r="W350" s="4">
        <f t="shared" si="15"/>
        <v>-3.125E-2</v>
      </c>
      <c r="Z350" s="11">
        <f t="shared" si="16"/>
        <v>0.54032258064516125</v>
      </c>
      <c r="AA350" s="19">
        <f t="shared" si="17"/>
        <v>57000</v>
      </c>
    </row>
    <row r="351" spans="2:27" x14ac:dyDescent="0.45">
      <c r="B351" s="7">
        <v>2284</v>
      </c>
      <c r="C351" s="1" t="s">
        <v>84</v>
      </c>
      <c r="D351" s="1" t="s">
        <v>1194</v>
      </c>
      <c r="E351" s="1" t="s">
        <v>1199</v>
      </c>
      <c r="F351" s="1" t="s">
        <v>1196</v>
      </c>
      <c r="G351" s="19">
        <v>10</v>
      </c>
      <c r="H351" s="19">
        <v>30</v>
      </c>
      <c r="I351" s="19">
        <v>40</v>
      </c>
      <c r="J351" s="19">
        <v>20</v>
      </c>
      <c r="K351" s="2" t="s">
        <v>317</v>
      </c>
      <c r="L351" s="2" t="s">
        <v>433</v>
      </c>
      <c r="M351" s="19">
        <v>1999</v>
      </c>
      <c r="N351" s="1" t="s">
        <v>434</v>
      </c>
      <c r="O351" s="19">
        <v>2282</v>
      </c>
      <c r="P351" s="1" t="s">
        <v>5</v>
      </c>
      <c r="Q351" s="19">
        <v>2</v>
      </c>
      <c r="R351" s="19">
        <v>1</v>
      </c>
      <c r="S351" s="19">
        <v>24</v>
      </c>
      <c r="T351" s="14">
        <v>0</v>
      </c>
      <c r="U351" s="14">
        <v>124500</v>
      </c>
      <c r="V351" s="14">
        <v>54000</v>
      </c>
      <c r="W351" s="4" t="e">
        <f t="shared" si="15"/>
        <v>#DIV/0!</v>
      </c>
      <c r="Z351" s="11">
        <f t="shared" si="16"/>
        <v>0.43373493975903615</v>
      </c>
      <c r="AA351" s="19">
        <f t="shared" si="17"/>
        <v>70500</v>
      </c>
    </row>
    <row r="352" spans="2:27" x14ac:dyDescent="0.45">
      <c r="B352" s="7">
        <v>272</v>
      </c>
      <c r="C352" s="1" t="s">
        <v>6</v>
      </c>
      <c r="D352" s="1" t="s">
        <v>508</v>
      </c>
      <c r="E352" s="1" t="s">
        <v>531</v>
      </c>
      <c r="F352" s="1" t="s">
        <v>532</v>
      </c>
      <c r="G352" s="19">
        <v>5</v>
      </c>
      <c r="H352" s="19">
        <v>60</v>
      </c>
      <c r="I352" s="19">
        <v>65</v>
      </c>
      <c r="J352" s="19">
        <v>60</v>
      </c>
      <c r="K352" s="1" t="s">
        <v>533</v>
      </c>
      <c r="L352" s="2" t="s">
        <v>439</v>
      </c>
      <c r="M352" s="19">
        <v>2011</v>
      </c>
      <c r="N352" s="1" t="s">
        <v>434</v>
      </c>
      <c r="O352" s="19">
        <v>2283</v>
      </c>
      <c r="P352" s="1" t="s">
        <v>5</v>
      </c>
      <c r="Q352" s="19">
        <v>3</v>
      </c>
      <c r="R352" s="19">
        <v>2</v>
      </c>
      <c r="S352" s="19">
        <v>33</v>
      </c>
      <c r="T352" s="14">
        <v>123000</v>
      </c>
      <c r="U352" s="14">
        <v>125000</v>
      </c>
      <c r="V352" s="14">
        <v>62000</v>
      </c>
      <c r="W352" s="4">
        <f t="shared" si="15"/>
        <v>1.6260162601626018E-2</v>
      </c>
      <c r="Z352" s="11">
        <f t="shared" si="16"/>
        <v>0.496</v>
      </c>
      <c r="AA352" s="19">
        <f t="shared" si="17"/>
        <v>63000</v>
      </c>
    </row>
    <row r="353" spans="2:27" x14ac:dyDescent="0.45">
      <c r="B353" s="7">
        <v>340</v>
      </c>
      <c r="C353" s="1" t="s">
        <v>86</v>
      </c>
      <c r="D353" s="1" t="s">
        <v>555</v>
      </c>
      <c r="E353" s="1" t="s">
        <v>559</v>
      </c>
      <c r="F353" s="1" t="s">
        <v>558</v>
      </c>
      <c r="G353" s="19">
        <v>5</v>
      </c>
      <c r="H353" s="19">
        <v>43</v>
      </c>
      <c r="I353" s="19">
        <v>16</v>
      </c>
      <c r="J353" s="19">
        <v>29</v>
      </c>
      <c r="K353" s="2" t="s">
        <v>324</v>
      </c>
      <c r="L353" s="2" t="s">
        <v>433</v>
      </c>
      <c r="M353" s="19">
        <v>1999</v>
      </c>
      <c r="N353" s="1" t="s">
        <v>447</v>
      </c>
      <c r="O353" s="19">
        <v>570</v>
      </c>
      <c r="P353" s="1" t="s">
        <v>18</v>
      </c>
      <c r="Q353" s="19">
        <v>3</v>
      </c>
      <c r="R353" s="19">
        <v>2</v>
      </c>
      <c r="S353" s="19">
        <v>33</v>
      </c>
      <c r="T353" s="14">
        <v>127000</v>
      </c>
      <c r="U353" s="14">
        <v>125000</v>
      </c>
      <c r="V353" s="14">
        <v>65000</v>
      </c>
      <c r="W353" s="4">
        <f t="shared" si="15"/>
        <v>-1.5748031496062992E-2</v>
      </c>
      <c r="Z353" s="11">
        <f t="shared" si="16"/>
        <v>0.52</v>
      </c>
      <c r="AA353" s="19">
        <f t="shared" si="17"/>
        <v>60000</v>
      </c>
    </row>
    <row r="354" spans="2:27" x14ac:dyDescent="0.45">
      <c r="B354" s="7">
        <v>455</v>
      </c>
      <c r="C354" s="1" t="s">
        <v>166</v>
      </c>
      <c r="D354" s="1" t="s">
        <v>555</v>
      </c>
      <c r="E354" s="1" t="s">
        <v>578</v>
      </c>
      <c r="F354" s="1" t="s">
        <v>577</v>
      </c>
      <c r="G354" s="19">
        <v>3</v>
      </c>
      <c r="H354" s="19">
        <v>49</v>
      </c>
      <c r="I354" s="19">
        <v>22</v>
      </c>
      <c r="J354" s="19">
        <v>36</v>
      </c>
      <c r="K354" s="2" t="s">
        <v>171</v>
      </c>
      <c r="L354" s="2" t="s">
        <v>439</v>
      </c>
      <c r="M354" s="19">
        <v>2008</v>
      </c>
      <c r="N354" s="1" t="s">
        <v>440</v>
      </c>
      <c r="O354" s="19">
        <v>341</v>
      </c>
      <c r="P354" s="1" t="s">
        <v>18</v>
      </c>
      <c r="Q354" s="19">
        <v>3</v>
      </c>
      <c r="R354" s="19">
        <v>2</v>
      </c>
      <c r="S354" s="19">
        <v>32</v>
      </c>
      <c r="T354" s="14">
        <v>130000</v>
      </c>
      <c r="U354" s="14">
        <v>125000</v>
      </c>
      <c r="V354" s="14">
        <v>67000</v>
      </c>
      <c r="W354" s="4">
        <f t="shared" si="15"/>
        <v>-3.8461538461538464E-2</v>
      </c>
      <c r="Z354" s="11">
        <f t="shared" si="16"/>
        <v>0.53600000000000003</v>
      </c>
      <c r="AA354" s="19">
        <f t="shared" si="17"/>
        <v>58000</v>
      </c>
    </row>
    <row r="355" spans="2:27" x14ac:dyDescent="0.45">
      <c r="B355" s="7">
        <v>696</v>
      </c>
      <c r="C355" s="1" t="s">
        <v>52</v>
      </c>
      <c r="D355" s="1" t="s">
        <v>652</v>
      </c>
      <c r="E355" s="1" t="s">
        <v>668</v>
      </c>
      <c r="F355" s="1" t="s">
        <v>666</v>
      </c>
      <c r="G355" s="19">
        <v>6</v>
      </c>
      <c r="H355" s="19">
        <v>33</v>
      </c>
      <c r="I355" s="19">
        <v>13</v>
      </c>
      <c r="J355" s="19">
        <v>23</v>
      </c>
      <c r="K355" s="1" t="s">
        <v>300</v>
      </c>
      <c r="L355" s="2" t="s">
        <v>433</v>
      </c>
      <c r="M355" s="19">
        <v>1999</v>
      </c>
      <c r="N355" s="1" t="s">
        <v>434</v>
      </c>
      <c r="O355" s="19">
        <v>2298</v>
      </c>
      <c r="P355" s="5" t="s">
        <v>18</v>
      </c>
      <c r="Q355" s="18">
        <v>3</v>
      </c>
      <c r="R355" s="19">
        <v>1</v>
      </c>
      <c r="S355" s="18">
        <v>24</v>
      </c>
      <c r="T355" s="14">
        <v>101000</v>
      </c>
      <c r="U355" s="14">
        <v>125000</v>
      </c>
      <c r="V355" s="14">
        <v>58000</v>
      </c>
      <c r="W355" s="4">
        <f t="shared" si="15"/>
        <v>0.23762376237623761</v>
      </c>
      <c r="Z355" s="11">
        <f t="shared" si="16"/>
        <v>0.46400000000000002</v>
      </c>
      <c r="AA355" s="19">
        <f t="shared" si="17"/>
        <v>67000</v>
      </c>
    </row>
    <row r="356" spans="2:27" x14ac:dyDescent="0.45">
      <c r="B356" s="7">
        <v>766</v>
      </c>
      <c r="C356" s="5" t="s">
        <v>248</v>
      </c>
      <c r="D356" s="5" t="s">
        <v>711</v>
      </c>
      <c r="E356" s="1" t="s">
        <v>735</v>
      </c>
      <c r="F356" s="1" t="s">
        <v>736</v>
      </c>
      <c r="G356" s="19">
        <v>4</v>
      </c>
      <c r="H356" s="19">
        <v>50</v>
      </c>
      <c r="I356" s="19">
        <v>62</v>
      </c>
      <c r="J356" s="19">
        <v>42</v>
      </c>
      <c r="K356" s="5" t="s">
        <v>249</v>
      </c>
      <c r="L356" s="2" t="s">
        <v>453</v>
      </c>
      <c r="M356" s="18">
        <v>2020</v>
      </c>
      <c r="N356" s="1" t="s">
        <v>434</v>
      </c>
      <c r="O356" s="18">
        <v>1062</v>
      </c>
      <c r="P356" s="5" t="s">
        <v>18</v>
      </c>
      <c r="Q356" s="18">
        <v>3</v>
      </c>
      <c r="R356" s="18">
        <v>2</v>
      </c>
      <c r="S356" s="18">
        <v>33</v>
      </c>
      <c r="T356" s="14">
        <v>121000</v>
      </c>
      <c r="U356" s="14">
        <v>125000</v>
      </c>
      <c r="V356" s="14">
        <v>80000</v>
      </c>
      <c r="W356" s="4">
        <f t="shared" si="15"/>
        <v>3.3057851239669422E-2</v>
      </c>
      <c r="Z356" s="11">
        <f t="shared" si="16"/>
        <v>0.64</v>
      </c>
      <c r="AA356" s="19">
        <f t="shared" si="17"/>
        <v>45000</v>
      </c>
    </row>
    <row r="357" spans="2:27" x14ac:dyDescent="0.45">
      <c r="B357" s="7">
        <v>956</v>
      </c>
      <c r="C357" s="1" t="s">
        <v>421</v>
      </c>
      <c r="D357" s="1" t="s">
        <v>816</v>
      </c>
      <c r="E357" s="1" t="s">
        <v>821</v>
      </c>
      <c r="F357" s="1" t="s">
        <v>822</v>
      </c>
      <c r="G357" s="19">
        <v>6</v>
      </c>
      <c r="H357" s="19">
        <v>22</v>
      </c>
      <c r="I357" s="19">
        <v>15</v>
      </c>
      <c r="J357" s="19">
        <v>25</v>
      </c>
      <c r="K357" s="2" t="s">
        <v>426</v>
      </c>
      <c r="L357" s="2" t="s">
        <v>439</v>
      </c>
      <c r="M357" s="19">
        <v>2003</v>
      </c>
      <c r="N357" s="1" t="s">
        <v>440</v>
      </c>
      <c r="O357" s="19">
        <v>206</v>
      </c>
      <c r="P357" s="1" t="s">
        <v>18</v>
      </c>
      <c r="Q357" s="19">
        <v>3</v>
      </c>
      <c r="R357" s="19">
        <v>2</v>
      </c>
      <c r="S357" s="19">
        <v>24</v>
      </c>
      <c r="T357" s="14">
        <v>97500</v>
      </c>
      <c r="U357" s="14">
        <v>125000</v>
      </c>
      <c r="V357" s="14">
        <v>50000</v>
      </c>
      <c r="W357" s="4">
        <f t="shared" si="15"/>
        <v>0.28205128205128205</v>
      </c>
      <c r="Z357" s="11">
        <f t="shared" si="16"/>
        <v>0.4</v>
      </c>
      <c r="AA357" s="19">
        <f t="shared" si="17"/>
        <v>75000</v>
      </c>
    </row>
    <row r="358" spans="2:27" x14ac:dyDescent="0.45">
      <c r="B358" s="7">
        <v>1258</v>
      </c>
      <c r="C358" s="1" t="s">
        <v>2</v>
      </c>
      <c r="D358" s="1" t="s">
        <v>899</v>
      </c>
      <c r="E358" s="1" t="s">
        <v>905</v>
      </c>
      <c r="F358" s="1" t="s">
        <v>904</v>
      </c>
      <c r="G358" s="19">
        <v>5</v>
      </c>
      <c r="H358" s="19">
        <v>45</v>
      </c>
      <c r="I358" s="19">
        <v>32</v>
      </c>
      <c r="J358" s="19">
        <v>15</v>
      </c>
      <c r="K358" s="1" t="s">
        <v>417</v>
      </c>
      <c r="L358" s="2" t="s">
        <v>453</v>
      </c>
      <c r="M358" s="19">
        <v>2021</v>
      </c>
      <c r="N358" s="1" t="s">
        <v>434</v>
      </c>
      <c r="O358" s="19">
        <v>1116</v>
      </c>
      <c r="P358" s="1" t="s">
        <v>18</v>
      </c>
      <c r="Q358" s="19">
        <v>3</v>
      </c>
      <c r="R358" s="19">
        <v>2</v>
      </c>
      <c r="S358" s="19">
        <v>25</v>
      </c>
      <c r="T358" s="14">
        <v>115000</v>
      </c>
      <c r="U358" s="14">
        <v>125000</v>
      </c>
      <c r="V358" s="14">
        <v>68000</v>
      </c>
      <c r="W358" s="4">
        <f t="shared" si="15"/>
        <v>8.6956521739130432E-2</v>
      </c>
      <c r="Z358" s="11">
        <f t="shared" si="16"/>
        <v>0.54400000000000004</v>
      </c>
      <c r="AA358" s="19">
        <f t="shared" si="17"/>
        <v>57000</v>
      </c>
    </row>
    <row r="359" spans="2:27" x14ac:dyDescent="0.45">
      <c r="B359" s="7">
        <v>1313</v>
      </c>
      <c r="C359" s="1" t="s">
        <v>2</v>
      </c>
      <c r="D359" s="1" t="s">
        <v>899</v>
      </c>
      <c r="E359" s="1" t="s">
        <v>921</v>
      </c>
      <c r="F359" s="1" t="s">
        <v>918</v>
      </c>
      <c r="G359" s="19">
        <v>7</v>
      </c>
      <c r="H359" s="19">
        <v>50</v>
      </c>
      <c r="I359" s="19">
        <v>25</v>
      </c>
      <c r="J359" s="19">
        <v>32</v>
      </c>
      <c r="K359" s="1" t="s">
        <v>139</v>
      </c>
      <c r="L359" s="2" t="s">
        <v>439</v>
      </c>
      <c r="M359" s="19">
        <v>2005</v>
      </c>
      <c r="N359" s="1" t="s">
        <v>447</v>
      </c>
      <c r="O359" s="19">
        <v>503</v>
      </c>
      <c r="P359" s="1" t="s">
        <v>18</v>
      </c>
      <c r="Q359" s="19">
        <v>3</v>
      </c>
      <c r="R359" s="19">
        <v>2</v>
      </c>
      <c r="S359" s="19">
        <v>25</v>
      </c>
      <c r="T359" s="14">
        <v>111000</v>
      </c>
      <c r="U359" s="14">
        <v>125000</v>
      </c>
      <c r="V359" s="14">
        <v>62000</v>
      </c>
      <c r="W359" s="4">
        <f t="shared" si="15"/>
        <v>0.12612612612612611</v>
      </c>
      <c r="Z359" s="11">
        <f t="shared" si="16"/>
        <v>0.496</v>
      </c>
      <c r="AA359" s="19">
        <f t="shared" si="17"/>
        <v>63000</v>
      </c>
    </row>
    <row r="360" spans="2:27" x14ac:dyDescent="0.45">
      <c r="B360" s="7">
        <v>1522</v>
      </c>
      <c r="C360" s="1" t="s">
        <v>8</v>
      </c>
      <c r="D360" s="1" t="s">
        <v>964</v>
      </c>
      <c r="E360" s="1" t="s">
        <v>981</v>
      </c>
      <c r="F360" s="1" t="s">
        <v>970</v>
      </c>
      <c r="G360" s="19">
        <v>2</v>
      </c>
      <c r="H360" s="19">
        <v>32</v>
      </c>
      <c r="I360" s="19">
        <v>30</v>
      </c>
      <c r="J360" s="19">
        <v>12</v>
      </c>
      <c r="K360" s="2" t="s">
        <v>273</v>
      </c>
      <c r="L360" s="2" t="s">
        <v>453</v>
      </c>
      <c r="M360" s="19">
        <v>2016</v>
      </c>
      <c r="N360" s="1" t="s">
        <v>434</v>
      </c>
      <c r="O360" s="19">
        <v>2529</v>
      </c>
      <c r="P360" s="1" t="s">
        <v>18</v>
      </c>
      <c r="Q360" s="19">
        <v>1</v>
      </c>
      <c r="R360" s="19">
        <v>1</v>
      </c>
      <c r="S360" s="19">
        <v>17</v>
      </c>
      <c r="T360" s="14">
        <v>99000</v>
      </c>
      <c r="U360" s="14">
        <v>125000</v>
      </c>
      <c r="V360" s="14">
        <v>60000</v>
      </c>
      <c r="W360" s="4">
        <f t="shared" si="15"/>
        <v>0.26262626262626265</v>
      </c>
      <c r="Z360" s="11">
        <f t="shared" si="16"/>
        <v>0.48</v>
      </c>
      <c r="AA360" s="19">
        <f t="shared" si="17"/>
        <v>65000</v>
      </c>
    </row>
    <row r="361" spans="2:27" x14ac:dyDescent="0.45">
      <c r="B361" s="7">
        <v>1652</v>
      </c>
      <c r="C361" s="1" t="s">
        <v>77</v>
      </c>
      <c r="D361" s="1" t="s">
        <v>998</v>
      </c>
      <c r="E361" s="1" t="s">
        <v>1019</v>
      </c>
      <c r="F361" s="1" t="s">
        <v>1013</v>
      </c>
      <c r="G361" s="19">
        <v>5</v>
      </c>
      <c r="H361" s="19">
        <v>52</v>
      </c>
      <c r="I361" s="19">
        <v>48</v>
      </c>
      <c r="J361" s="19">
        <v>40</v>
      </c>
      <c r="K361" s="6" t="s">
        <v>153</v>
      </c>
      <c r="L361" s="2" t="s">
        <v>453</v>
      </c>
      <c r="M361" s="19">
        <v>2019</v>
      </c>
      <c r="N361" s="1" t="s">
        <v>434</v>
      </c>
      <c r="O361" s="19">
        <v>1091</v>
      </c>
      <c r="P361" s="1" t="s">
        <v>18</v>
      </c>
      <c r="Q361" s="19">
        <v>3</v>
      </c>
      <c r="R361" s="19">
        <v>2</v>
      </c>
      <c r="S361" s="19">
        <v>33</v>
      </c>
      <c r="T361" s="14">
        <v>130000</v>
      </c>
      <c r="U361" s="14">
        <v>125000</v>
      </c>
      <c r="V361" s="14">
        <v>60000</v>
      </c>
      <c r="W361" s="4">
        <f t="shared" si="15"/>
        <v>-3.8461538461538464E-2</v>
      </c>
      <c r="Z361" s="11">
        <f t="shared" si="16"/>
        <v>0.48</v>
      </c>
      <c r="AA361" s="19">
        <f t="shared" si="17"/>
        <v>65000</v>
      </c>
    </row>
    <row r="362" spans="2:27" x14ac:dyDescent="0.45">
      <c r="B362" s="7">
        <v>1914</v>
      </c>
      <c r="C362" s="1" t="s">
        <v>73</v>
      </c>
      <c r="D362" s="1" t="s">
        <v>1077</v>
      </c>
      <c r="E362" s="1" t="s">
        <v>1088</v>
      </c>
      <c r="F362" s="1" t="s">
        <v>1089</v>
      </c>
      <c r="G362" s="19">
        <v>5</v>
      </c>
      <c r="H362" s="19">
        <v>48</v>
      </c>
      <c r="I362" s="19">
        <v>22</v>
      </c>
      <c r="J362" s="19">
        <v>35</v>
      </c>
      <c r="K362" s="1" t="s">
        <v>307</v>
      </c>
      <c r="L362" s="2" t="s">
        <v>433</v>
      </c>
      <c r="M362" s="19">
        <v>1992</v>
      </c>
      <c r="N362" s="1" t="s">
        <v>440</v>
      </c>
      <c r="O362" s="19">
        <v>279</v>
      </c>
      <c r="P362" s="1" t="s">
        <v>18</v>
      </c>
      <c r="Q362" s="19">
        <v>3</v>
      </c>
      <c r="R362" s="19">
        <v>2</v>
      </c>
      <c r="S362" s="19">
        <v>33</v>
      </c>
      <c r="T362" s="14">
        <v>113000</v>
      </c>
      <c r="U362" s="14">
        <v>125000</v>
      </c>
      <c r="V362" s="14">
        <v>69000</v>
      </c>
      <c r="W362" s="4">
        <f t="shared" si="15"/>
        <v>0.10619469026548672</v>
      </c>
      <c r="Z362" s="11">
        <f t="shared" si="16"/>
        <v>0.55200000000000005</v>
      </c>
      <c r="AA362" s="19">
        <f t="shared" si="17"/>
        <v>56000</v>
      </c>
    </row>
    <row r="363" spans="2:27" x14ac:dyDescent="0.45">
      <c r="B363" s="7">
        <v>1934</v>
      </c>
      <c r="C363" s="1" t="s">
        <v>73</v>
      </c>
      <c r="D363" s="1" t="s">
        <v>1077</v>
      </c>
      <c r="E363" s="1" t="s">
        <v>1094</v>
      </c>
      <c r="F363" s="1" t="s">
        <v>1080</v>
      </c>
      <c r="G363" s="19">
        <v>10</v>
      </c>
      <c r="H363" s="19">
        <v>50</v>
      </c>
      <c r="I363" s="19">
        <v>28</v>
      </c>
      <c r="J363" s="19">
        <v>38</v>
      </c>
      <c r="K363" s="1" t="s">
        <v>272</v>
      </c>
      <c r="L363" s="2" t="s">
        <v>439</v>
      </c>
      <c r="M363" s="19">
        <v>2006</v>
      </c>
      <c r="N363" s="1" t="s">
        <v>440</v>
      </c>
      <c r="O363" s="19">
        <v>326</v>
      </c>
      <c r="P363" s="1" t="s">
        <v>18</v>
      </c>
      <c r="Q363" s="19">
        <v>3</v>
      </c>
      <c r="R363" s="19">
        <v>2</v>
      </c>
      <c r="S363" s="19">
        <v>33</v>
      </c>
      <c r="T363" s="14">
        <v>118000</v>
      </c>
      <c r="U363" s="14">
        <v>125000</v>
      </c>
      <c r="V363" s="14">
        <v>65000</v>
      </c>
      <c r="W363" s="4">
        <f t="shared" si="15"/>
        <v>5.9322033898305086E-2</v>
      </c>
      <c r="Z363" s="11">
        <f t="shared" si="16"/>
        <v>0.52</v>
      </c>
      <c r="AA363" s="19">
        <f t="shared" si="17"/>
        <v>60000</v>
      </c>
    </row>
    <row r="364" spans="2:27" x14ac:dyDescent="0.45">
      <c r="B364" s="7">
        <v>1945</v>
      </c>
      <c r="C364" s="1" t="s">
        <v>143</v>
      </c>
      <c r="D364" s="1" t="s">
        <v>1077</v>
      </c>
      <c r="E364" s="1" t="s">
        <v>1100</v>
      </c>
      <c r="F364" s="1" t="s">
        <v>1082</v>
      </c>
      <c r="G364" s="19">
        <v>5</v>
      </c>
      <c r="H364" s="19">
        <v>55</v>
      </c>
      <c r="I364" s="19">
        <v>32</v>
      </c>
      <c r="J364" s="19">
        <v>40</v>
      </c>
      <c r="K364" s="1" t="s">
        <v>189</v>
      </c>
      <c r="L364" s="2" t="s">
        <v>453</v>
      </c>
      <c r="M364" s="19">
        <v>2020</v>
      </c>
      <c r="N364" s="1" t="s">
        <v>434</v>
      </c>
      <c r="O364" s="19">
        <v>3045</v>
      </c>
      <c r="P364" s="1" t="s">
        <v>18</v>
      </c>
      <c r="Q364" s="19">
        <v>3</v>
      </c>
      <c r="R364" s="19">
        <v>2</v>
      </c>
      <c r="S364" s="19">
        <v>33</v>
      </c>
      <c r="T364" s="14">
        <v>143000</v>
      </c>
      <c r="U364" s="14">
        <v>125000</v>
      </c>
      <c r="V364" s="14">
        <v>65000</v>
      </c>
      <c r="W364" s="4">
        <f t="shared" si="15"/>
        <v>-0.12587412587412589</v>
      </c>
      <c r="Z364" s="11">
        <f t="shared" si="16"/>
        <v>0.52</v>
      </c>
      <c r="AA364" s="19">
        <f t="shared" si="17"/>
        <v>60000</v>
      </c>
    </row>
    <row r="365" spans="2:27" x14ac:dyDescent="0.45">
      <c r="B365" s="7">
        <v>2008</v>
      </c>
      <c r="C365" s="1" t="s">
        <v>11</v>
      </c>
      <c r="D365" s="1" t="s">
        <v>1107</v>
      </c>
      <c r="E365" s="1" t="s">
        <v>1124</v>
      </c>
      <c r="F365" s="1" t="s">
        <v>832</v>
      </c>
      <c r="G365" s="19">
        <v>6</v>
      </c>
      <c r="H365" s="19">
        <v>38</v>
      </c>
      <c r="I365" s="19">
        <v>18</v>
      </c>
      <c r="J365" s="19">
        <v>28</v>
      </c>
      <c r="K365" s="1" t="s">
        <v>290</v>
      </c>
      <c r="L365" s="2" t="s">
        <v>433</v>
      </c>
      <c r="M365" s="19">
        <v>1997</v>
      </c>
      <c r="N365" s="1" t="s">
        <v>434</v>
      </c>
      <c r="O365" s="19">
        <v>1174</v>
      </c>
      <c r="P365" s="1" t="s">
        <v>18</v>
      </c>
      <c r="Q365" s="19">
        <v>3</v>
      </c>
      <c r="R365" s="19">
        <v>2</v>
      </c>
      <c r="S365" s="19">
        <v>33</v>
      </c>
      <c r="T365" s="14">
        <v>120000</v>
      </c>
      <c r="U365" s="14">
        <v>125000</v>
      </c>
      <c r="V365" s="14">
        <v>65000</v>
      </c>
      <c r="W365" s="4">
        <f t="shared" si="15"/>
        <v>4.1666666666666664E-2</v>
      </c>
      <c r="Z365" s="11">
        <f t="shared" si="16"/>
        <v>0.52</v>
      </c>
      <c r="AA365" s="19">
        <f t="shared" si="17"/>
        <v>60000</v>
      </c>
    </row>
    <row r="366" spans="2:27" x14ac:dyDescent="0.45">
      <c r="B366" s="7">
        <v>2012</v>
      </c>
      <c r="C366" s="1" t="s">
        <v>11</v>
      </c>
      <c r="D366" s="1" t="s">
        <v>1107</v>
      </c>
      <c r="E366" s="1" t="s">
        <v>1123</v>
      </c>
      <c r="F366" s="1" t="s">
        <v>833</v>
      </c>
      <c r="G366" s="19">
        <v>4</v>
      </c>
      <c r="H366" s="19">
        <v>38</v>
      </c>
      <c r="I366" s="19">
        <v>18</v>
      </c>
      <c r="J366" s="19">
        <v>28</v>
      </c>
      <c r="K366" s="1" t="s">
        <v>222</v>
      </c>
      <c r="L366" s="2" t="s">
        <v>439</v>
      </c>
      <c r="M366" s="19">
        <v>2005</v>
      </c>
      <c r="N366" s="1" t="s">
        <v>447</v>
      </c>
      <c r="O366" s="19">
        <v>669</v>
      </c>
      <c r="P366" s="1" t="s">
        <v>18</v>
      </c>
      <c r="Q366" s="19">
        <v>3</v>
      </c>
      <c r="R366" s="19">
        <v>2</v>
      </c>
      <c r="S366" s="19">
        <v>33</v>
      </c>
      <c r="T366" s="14">
        <v>122000</v>
      </c>
      <c r="U366" s="14">
        <v>125000</v>
      </c>
      <c r="V366" s="14">
        <v>61000</v>
      </c>
      <c r="W366" s="4">
        <f t="shared" si="15"/>
        <v>2.4590163934426229E-2</v>
      </c>
      <c r="Z366" s="11">
        <f t="shared" si="16"/>
        <v>0.48799999999999999</v>
      </c>
      <c r="AA366" s="19">
        <f t="shared" si="17"/>
        <v>64000</v>
      </c>
    </row>
    <row r="367" spans="2:27" x14ac:dyDescent="0.45">
      <c r="B367" s="7">
        <v>2027</v>
      </c>
      <c r="C367" s="1" t="s">
        <v>98</v>
      </c>
      <c r="D367" s="1" t="s">
        <v>1107</v>
      </c>
      <c r="E367" s="1" t="s">
        <v>1129</v>
      </c>
      <c r="F367" s="1" t="s">
        <v>1116</v>
      </c>
      <c r="G367" s="19">
        <v>5</v>
      </c>
      <c r="H367" s="19">
        <v>35</v>
      </c>
      <c r="I367" s="19">
        <v>10</v>
      </c>
      <c r="J367" s="19">
        <v>22</v>
      </c>
      <c r="K367" s="1" t="s">
        <v>140</v>
      </c>
      <c r="L367" s="2" t="s">
        <v>433</v>
      </c>
      <c r="M367" s="19">
        <v>1995</v>
      </c>
      <c r="N367" s="1" t="s">
        <v>440</v>
      </c>
      <c r="O367" s="19">
        <v>348</v>
      </c>
      <c r="P367" s="1" t="s">
        <v>18</v>
      </c>
      <c r="Q367" s="19">
        <v>3</v>
      </c>
      <c r="R367" s="19">
        <v>1</v>
      </c>
      <c r="S367" s="19">
        <v>25</v>
      </c>
      <c r="T367" s="14">
        <v>118000</v>
      </c>
      <c r="U367" s="14">
        <v>125000</v>
      </c>
      <c r="V367" s="14">
        <v>54000</v>
      </c>
      <c r="W367" s="4">
        <f t="shared" si="15"/>
        <v>5.9322033898305086E-2</v>
      </c>
      <c r="Z367" s="11">
        <f t="shared" si="16"/>
        <v>0.432</v>
      </c>
      <c r="AA367" s="19">
        <f t="shared" si="17"/>
        <v>71000</v>
      </c>
    </row>
    <row r="368" spans="2:27" x14ac:dyDescent="0.45">
      <c r="B368" s="7">
        <v>859</v>
      </c>
      <c r="C368" s="1" t="s">
        <v>20</v>
      </c>
      <c r="D368" s="1" t="s">
        <v>781</v>
      </c>
      <c r="E368" s="1" t="s">
        <v>791</v>
      </c>
      <c r="F368" s="1" t="s">
        <v>783</v>
      </c>
      <c r="G368" s="19">
        <v>3</v>
      </c>
      <c r="H368" s="19">
        <v>32</v>
      </c>
      <c r="I368" s="19">
        <v>28</v>
      </c>
      <c r="J368" s="19">
        <v>25</v>
      </c>
      <c r="K368" s="1" t="s">
        <v>402</v>
      </c>
      <c r="L368" s="2" t="s">
        <v>439</v>
      </c>
      <c r="M368" s="19">
        <v>2010</v>
      </c>
      <c r="N368" s="1" t="s">
        <v>447</v>
      </c>
      <c r="O368" s="19">
        <v>725</v>
      </c>
      <c r="P368" s="1" t="s">
        <v>18</v>
      </c>
      <c r="Q368" s="19">
        <v>3</v>
      </c>
      <c r="R368" s="19">
        <v>2</v>
      </c>
      <c r="S368" s="19">
        <v>25</v>
      </c>
      <c r="T368" s="14">
        <v>120000</v>
      </c>
      <c r="U368" s="14">
        <v>126000</v>
      </c>
      <c r="V368" s="14">
        <v>63000</v>
      </c>
      <c r="W368" s="4">
        <f t="shared" si="15"/>
        <v>0.05</v>
      </c>
      <c r="Z368" s="11">
        <f t="shared" si="16"/>
        <v>0.5</v>
      </c>
      <c r="AA368" s="19">
        <f t="shared" si="17"/>
        <v>63000</v>
      </c>
    </row>
    <row r="369" spans="2:27" x14ac:dyDescent="0.45">
      <c r="B369" s="7">
        <v>993</v>
      </c>
      <c r="C369" s="1" t="s">
        <v>89</v>
      </c>
      <c r="D369" s="1" t="s">
        <v>816</v>
      </c>
      <c r="E369" s="1" t="s">
        <v>834</v>
      </c>
      <c r="F369" s="1" t="s">
        <v>835</v>
      </c>
      <c r="G369" s="19">
        <v>4</v>
      </c>
      <c r="H369" s="19">
        <v>35</v>
      </c>
      <c r="I369" s="19">
        <v>23</v>
      </c>
      <c r="J369" s="19">
        <v>35</v>
      </c>
      <c r="K369" s="2" t="s">
        <v>836</v>
      </c>
      <c r="L369" s="2" t="s">
        <v>433</v>
      </c>
      <c r="M369" s="19">
        <v>1988</v>
      </c>
      <c r="N369" s="1" t="s">
        <v>434</v>
      </c>
      <c r="O369" s="19">
        <v>1335</v>
      </c>
      <c r="P369" s="1" t="s">
        <v>5</v>
      </c>
      <c r="Q369" s="19">
        <v>2</v>
      </c>
      <c r="R369" s="19">
        <v>1</v>
      </c>
      <c r="S369" s="19">
        <v>25</v>
      </c>
      <c r="T369" s="14">
        <v>110000</v>
      </c>
      <c r="U369" s="14">
        <v>126000</v>
      </c>
      <c r="V369" s="14">
        <v>42000</v>
      </c>
      <c r="W369" s="4">
        <f t="shared" si="15"/>
        <v>0.14545454545454545</v>
      </c>
      <c r="Z369" s="11">
        <f t="shared" si="16"/>
        <v>0.33333333333333331</v>
      </c>
      <c r="AA369" s="19">
        <f t="shared" si="17"/>
        <v>84000</v>
      </c>
    </row>
    <row r="370" spans="2:27" x14ac:dyDescent="0.45">
      <c r="B370" s="7">
        <v>1488</v>
      </c>
      <c r="C370" s="1" t="s">
        <v>75</v>
      </c>
      <c r="D370" s="1" t="s">
        <v>964</v>
      </c>
      <c r="E370" s="1" t="s">
        <v>971</v>
      </c>
      <c r="F370" s="1" t="s">
        <v>972</v>
      </c>
      <c r="G370" s="19">
        <v>6</v>
      </c>
      <c r="H370" s="19">
        <v>35</v>
      </c>
      <c r="I370" s="19">
        <v>35</v>
      </c>
      <c r="J370" s="19">
        <v>22</v>
      </c>
      <c r="K370" s="1" t="s">
        <v>403</v>
      </c>
      <c r="L370" s="2" t="s">
        <v>433</v>
      </c>
      <c r="M370" s="19">
        <v>1998</v>
      </c>
      <c r="N370" s="1" t="s">
        <v>434</v>
      </c>
      <c r="O370" s="19">
        <v>1017</v>
      </c>
      <c r="P370" s="1" t="s">
        <v>5</v>
      </c>
      <c r="Q370" s="19">
        <v>3</v>
      </c>
      <c r="R370" s="19">
        <v>1</v>
      </c>
      <c r="S370" s="19">
        <v>25</v>
      </c>
      <c r="T370" s="14">
        <v>98000</v>
      </c>
      <c r="U370" s="14">
        <v>126000</v>
      </c>
      <c r="V370" s="14">
        <v>52000</v>
      </c>
      <c r="W370" s="4">
        <f t="shared" si="15"/>
        <v>0.2857142857142857</v>
      </c>
      <c r="Z370" s="11">
        <f t="shared" si="16"/>
        <v>0.41269841269841268</v>
      </c>
      <c r="AA370" s="19">
        <f t="shared" si="17"/>
        <v>74000</v>
      </c>
    </row>
    <row r="371" spans="2:27" x14ac:dyDescent="0.45">
      <c r="B371" s="7">
        <v>473</v>
      </c>
      <c r="C371" s="1" t="s">
        <v>166</v>
      </c>
      <c r="D371" s="1" t="s">
        <v>555</v>
      </c>
      <c r="E371" s="1" t="s">
        <v>584</v>
      </c>
      <c r="F371" s="1" t="s">
        <v>577</v>
      </c>
      <c r="G371" s="19">
        <v>5</v>
      </c>
      <c r="H371" s="19">
        <v>47</v>
      </c>
      <c r="I371" s="19">
        <v>20</v>
      </c>
      <c r="J371" s="19">
        <v>34</v>
      </c>
      <c r="K371" s="2" t="s">
        <v>169</v>
      </c>
      <c r="L371" s="2" t="s">
        <v>453</v>
      </c>
      <c r="M371" s="19">
        <v>2016</v>
      </c>
      <c r="N371" s="1" t="s">
        <v>440</v>
      </c>
      <c r="O371" s="19">
        <v>363</v>
      </c>
      <c r="P371" s="1" t="s">
        <v>18</v>
      </c>
      <c r="Q371" s="19">
        <v>3</v>
      </c>
      <c r="R371" s="19">
        <v>2</v>
      </c>
      <c r="S371" s="19">
        <v>25</v>
      </c>
      <c r="T371" s="14">
        <v>110000</v>
      </c>
      <c r="U371" s="14">
        <v>127000</v>
      </c>
      <c r="V371" s="14">
        <v>70000</v>
      </c>
      <c r="W371" s="4">
        <f t="shared" si="15"/>
        <v>0.15454545454545454</v>
      </c>
      <c r="Z371" s="11">
        <f t="shared" si="16"/>
        <v>0.55118110236220474</v>
      </c>
      <c r="AA371" s="19">
        <f t="shared" si="17"/>
        <v>57000</v>
      </c>
    </row>
    <row r="372" spans="2:27" x14ac:dyDescent="0.45">
      <c r="B372" s="7">
        <v>1689</v>
      </c>
      <c r="C372" s="1" t="s">
        <v>77</v>
      </c>
      <c r="D372" s="1" t="s">
        <v>998</v>
      </c>
      <c r="E372" s="1" t="s">
        <v>1025</v>
      </c>
      <c r="F372" s="1" t="s">
        <v>1026</v>
      </c>
      <c r="G372" s="19">
        <v>5</v>
      </c>
      <c r="H372" s="19">
        <v>55</v>
      </c>
      <c r="I372" s="19">
        <v>50</v>
      </c>
      <c r="J372" s="19">
        <v>42</v>
      </c>
      <c r="K372" s="2" t="s">
        <v>83</v>
      </c>
      <c r="L372" s="2" t="s">
        <v>453</v>
      </c>
      <c r="M372" s="19">
        <v>2022</v>
      </c>
      <c r="N372" s="1" t="s">
        <v>434</v>
      </c>
      <c r="O372" s="19">
        <v>1711</v>
      </c>
      <c r="P372" s="1" t="s">
        <v>18</v>
      </c>
      <c r="Q372" s="19">
        <v>3</v>
      </c>
      <c r="R372" s="19">
        <v>2</v>
      </c>
      <c r="S372" s="19">
        <v>33</v>
      </c>
      <c r="T372" s="14">
        <v>130000</v>
      </c>
      <c r="U372" s="14">
        <v>127000</v>
      </c>
      <c r="V372" s="14">
        <v>75000</v>
      </c>
      <c r="W372" s="4">
        <f t="shared" si="15"/>
        <v>-2.3076923076923078E-2</v>
      </c>
      <c r="Z372" s="11">
        <f t="shared" si="16"/>
        <v>0.59055118110236215</v>
      </c>
      <c r="AA372" s="19">
        <f t="shared" si="17"/>
        <v>52000</v>
      </c>
    </row>
    <row r="373" spans="2:27" x14ac:dyDescent="0.45">
      <c r="B373" s="7">
        <v>2296</v>
      </c>
      <c r="C373" s="1" t="s">
        <v>295</v>
      </c>
      <c r="D373" s="1" t="s">
        <v>1194</v>
      </c>
      <c r="E373" s="1" t="s">
        <v>1201</v>
      </c>
      <c r="F373" s="1" t="s">
        <v>1200</v>
      </c>
      <c r="G373" s="19">
        <v>4</v>
      </c>
      <c r="H373" s="19">
        <v>40</v>
      </c>
      <c r="I373" s="19">
        <v>40</v>
      </c>
      <c r="J373" s="19">
        <v>20</v>
      </c>
      <c r="K373" s="1" t="s">
        <v>296</v>
      </c>
      <c r="L373" s="2" t="s">
        <v>433</v>
      </c>
      <c r="M373" s="19">
        <v>1999</v>
      </c>
      <c r="N373" s="1" t="s">
        <v>447</v>
      </c>
      <c r="O373" s="19">
        <v>994</v>
      </c>
      <c r="P373" s="1" t="s">
        <v>18</v>
      </c>
      <c r="Q373" s="19">
        <v>3</v>
      </c>
      <c r="R373" s="19">
        <v>1</v>
      </c>
      <c r="S373" s="19">
        <v>25</v>
      </c>
      <c r="T373" s="14">
        <v>110000</v>
      </c>
      <c r="U373" s="14">
        <v>127000</v>
      </c>
      <c r="V373" s="14">
        <v>58000</v>
      </c>
      <c r="W373" s="4">
        <f t="shared" si="15"/>
        <v>0.15454545454545454</v>
      </c>
      <c r="Z373" s="11">
        <f t="shared" si="16"/>
        <v>0.45669291338582679</v>
      </c>
      <c r="AA373" s="19">
        <f t="shared" si="17"/>
        <v>69000</v>
      </c>
    </row>
    <row r="374" spans="2:27" x14ac:dyDescent="0.45">
      <c r="B374" s="7">
        <v>2122</v>
      </c>
      <c r="C374" s="1" t="s">
        <v>391</v>
      </c>
      <c r="D374" s="1" t="s">
        <v>1150</v>
      </c>
      <c r="E374" s="1" t="s">
        <v>1153</v>
      </c>
      <c r="F374" s="1" t="s">
        <v>1152</v>
      </c>
      <c r="G374" s="19">
        <v>4</v>
      </c>
      <c r="H374" s="19">
        <v>52</v>
      </c>
      <c r="I374" s="19">
        <v>45</v>
      </c>
      <c r="J374" s="19">
        <v>28</v>
      </c>
      <c r="K374" s="2" t="s">
        <v>1154</v>
      </c>
      <c r="L374" s="2" t="s">
        <v>439</v>
      </c>
      <c r="M374" s="19">
        <v>2009</v>
      </c>
      <c r="N374" s="1" t="s">
        <v>447</v>
      </c>
      <c r="O374" s="19">
        <v>947</v>
      </c>
      <c r="P374" s="1" t="s">
        <v>18</v>
      </c>
      <c r="Q374" s="19">
        <v>3</v>
      </c>
      <c r="R374" s="19">
        <v>2</v>
      </c>
      <c r="S374" s="19">
        <v>33</v>
      </c>
      <c r="T374" s="14">
        <v>119500</v>
      </c>
      <c r="U374" s="14">
        <v>128000</v>
      </c>
      <c r="V374" s="14">
        <v>70000</v>
      </c>
      <c r="W374" s="4">
        <f t="shared" si="15"/>
        <v>7.1129707112970716E-2</v>
      </c>
      <c r="Z374" s="11">
        <f t="shared" si="16"/>
        <v>0.546875</v>
      </c>
      <c r="AA374" s="19">
        <f t="shared" si="17"/>
        <v>58000</v>
      </c>
    </row>
    <row r="375" spans="2:27" x14ac:dyDescent="0.45">
      <c r="B375" s="7">
        <v>2323</v>
      </c>
      <c r="C375" s="5" t="s">
        <v>182</v>
      </c>
      <c r="D375" s="5" t="s">
        <v>1204</v>
      </c>
      <c r="E375" s="1" t="s">
        <v>1220</v>
      </c>
      <c r="F375" s="1" t="s">
        <v>1221</v>
      </c>
      <c r="G375" s="19">
        <v>8</v>
      </c>
      <c r="H375" s="19">
        <v>40</v>
      </c>
      <c r="I375" s="19">
        <v>55</v>
      </c>
      <c r="J375" s="19">
        <v>45</v>
      </c>
      <c r="K375" s="5" t="s">
        <v>183</v>
      </c>
      <c r="L375" s="2" t="s">
        <v>453</v>
      </c>
      <c r="M375" s="18">
        <v>2020</v>
      </c>
      <c r="N375" s="1" t="s">
        <v>434</v>
      </c>
      <c r="O375" s="18">
        <v>1505</v>
      </c>
      <c r="P375" s="5" t="s">
        <v>18</v>
      </c>
      <c r="Q375" s="18">
        <v>3</v>
      </c>
      <c r="R375" s="18">
        <v>2</v>
      </c>
      <c r="S375" s="18">
        <v>33</v>
      </c>
      <c r="T375" s="14">
        <v>149000</v>
      </c>
      <c r="U375" s="14">
        <v>128000</v>
      </c>
      <c r="V375" s="14">
        <v>68000</v>
      </c>
      <c r="W375" s="4">
        <f t="shared" si="15"/>
        <v>-0.14093959731543623</v>
      </c>
      <c r="Z375" s="11">
        <f t="shared" si="16"/>
        <v>0.53125</v>
      </c>
      <c r="AA375" s="19">
        <f t="shared" si="17"/>
        <v>60000</v>
      </c>
    </row>
    <row r="376" spans="2:27" x14ac:dyDescent="0.45">
      <c r="B376" s="7">
        <v>1690</v>
      </c>
      <c r="C376" s="1" t="s">
        <v>77</v>
      </c>
      <c r="D376" s="1" t="s">
        <v>998</v>
      </c>
      <c r="E376" s="1" t="s">
        <v>1025</v>
      </c>
      <c r="F376" s="1" t="s">
        <v>1026</v>
      </c>
      <c r="G376" s="19">
        <v>5</v>
      </c>
      <c r="H376" s="19">
        <v>55</v>
      </c>
      <c r="I376" s="19">
        <v>50</v>
      </c>
      <c r="J376" s="19">
        <v>42</v>
      </c>
      <c r="K376" s="6" t="s">
        <v>83</v>
      </c>
      <c r="L376" s="2" t="s">
        <v>453</v>
      </c>
      <c r="M376" s="19">
        <v>2022</v>
      </c>
      <c r="N376" s="1" t="s">
        <v>434</v>
      </c>
      <c r="O376" s="19">
        <v>1711</v>
      </c>
      <c r="P376" s="1" t="s">
        <v>18</v>
      </c>
      <c r="Q376" s="19">
        <v>3</v>
      </c>
      <c r="R376" s="19">
        <v>2</v>
      </c>
      <c r="S376" s="19">
        <v>30</v>
      </c>
      <c r="T376" s="14">
        <v>118000</v>
      </c>
      <c r="U376" s="14">
        <v>129000</v>
      </c>
      <c r="V376" s="14">
        <v>62000</v>
      </c>
      <c r="W376" s="4">
        <f t="shared" si="15"/>
        <v>9.3220338983050849E-2</v>
      </c>
      <c r="Z376" s="11">
        <f t="shared" si="16"/>
        <v>0.48062015503875971</v>
      </c>
      <c r="AA376" s="19">
        <f t="shared" si="17"/>
        <v>67000</v>
      </c>
    </row>
    <row r="377" spans="2:27" x14ac:dyDescent="0.45">
      <c r="B377" s="7">
        <v>643</v>
      </c>
      <c r="C377" s="1" t="s">
        <v>7</v>
      </c>
      <c r="D377" s="1" t="s">
        <v>626</v>
      </c>
      <c r="E377" s="1" t="s">
        <v>637</v>
      </c>
      <c r="F377" s="1" t="s">
        <v>630</v>
      </c>
      <c r="G377" s="19">
        <v>5</v>
      </c>
      <c r="H377" s="19">
        <v>28</v>
      </c>
      <c r="I377" s="19">
        <v>44</v>
      </c>
      <c r="J377" s="19">
        <v>41</v>
      </c>
      <c r="K377" s="1" t="s">
        <v>638</v>
      </c>
      <c r="L377" s="2" t="s">
        <v>433</v>
      </c>
      <c r="M377" s="19">
        <v>1999</v>
      </c>
      <c r="N377" s="1" t="s">
        <v>440</v>
      </c>
      <c r="O377" s="19">
        <v>322</v>
      </c>
      <c r="P377" s="1" t="s">
        <v>5</v>
      </c>
      <c r="Q377" s="19">
        <v>3</v>
      </c>
      <c r="R377" s="19">
        <v>1</v>
      </c>
      <c r="S377" s="19">
        <v>25</v>
      </c>
      <c r="T377" s="14">
        <v>101800</v>
      </c>
      <c r="U377" s="14">
        <v>129500</v>
      </c>
      <c r="V377" s="14">
        <v>55000</v>
      </c>
      <c r="W377" s="4">
        <f t="shared" si="15"/>
        <v>0.27210216110019647</v>
      </c>
      <c r="Z377" s="11">
        <f t="shared" si="16"/>
        <v>0.42471042471042469</v>
      </c>
      <c r="AA377" s="19">
        <f t="shared" si="17"/>
        <v>74500</v>
      </c>
    </row>
    <row r="378" spans="2:27" x14ac:dyDescent="0.45">
      <c r="B378" s="7">
        <v>224</v>
      </c>
      <c r="C378" s="1" t="s">
        <v>6</v>
      </c>
      <c r="D378" s="1" t="s">
        <v>508</v>
      </c>
      <c r="E378" s="1" t="s">
        <v>517</v>
      </c>
      <c r="F378" s="1" t="s">
        <v>516</v>
      </c>
      <c r="G378" s="19">
        <v>8</v>
      </c>
      <c r="H378" s="19">
        <v>30</v>
      </c>
      <c r="I378" s="19">
        <v>42</v>
      </c>
      <c r="J378" s="19">
        <v>46</v>
      </c>
      <c r="K378" s="1" t="s">
        <v>268</v>
      </c>
      <c r="L378" s="2" t="s">
        <v>433</v>
      </c>
      <c r="M378" s="19">
        <v>1999</v>
      </c>
      <c r="N378" s="1" t="s">
        <v>434</v>
      </c>
      <c r="O378" s="19">
        <v>1220</v>
      </c>
      <c r="P378" s="1" t="s">
        <v>5</v>
      </c>
      <c r="Q378" s="19">
        <v>3</v>
      </c>
      <c r="R378" s="19">
        <v>1</v>
      </c>
      <c r="S378" s="19">
        <v>25</v>
      </c>
      <c r="T378" s="14">
        <v>109000</v>
      </c>
      <c r="U378" s="14">
        <v>130000</v>
      </c>
      <c r="V378" s="14">
        <v>60000</v>
      </c>
      <c r="W378" s="4">
        <f t="shared" si="15"/>
        <v>0.19266055045871561</v>
      </c>
      <c r="Z378" s="11">
        <f t="shared" si="16"/>
        <v>0.46153846153846156</v>
      </c>
      <c r="AA378" s="19">
        <f t="shared" si="17"/>
        <v>70000</v>
      </c>
    </row>
    <row r="379" spans="2:27" x14ac:dyDescent="0.45">
      <c r="B379" s="7">
        <v>252</v>
      </c>
      <c r="C379" s="1" t="s">
        <v>6</v>
      </c>
      <c r="D379" s="1" t="s">
        <v>508</v>
      </c>
      <c r="E379" s="1" t="s">
        <v>529</v>
      </c>
      <c r="F379" s="1" t="s">
        <v>530</v>
      </c>
      <c r="G379" s="19">
        <v>9</v>
      </c>
      <c r="H379" s="19">
        <v>38</v>
      </c>
      <c r="I379" s="19">
        <v>48</v>
      </c>
      <c r="J379" s="19">
        <v>54</v>
      </c>
      <c r="K379" s="1" t="s">
        <v>126</v>
      </c>
      <c r="L379" s="2" t="s">
        <v>433</v>
      </c>
      <c r="M379" s="19">
        <v>1998</v>
      </c>
      <c r="N379" s="1" t="s">
        <v>440</v>
      </c>
      <c r="O379" s="19">
        <v>460</v>
      </c>
      <c r="P379" s="1" t="s">
        <v>5</v>
      </c>
      <c r="Q379" s="19">
        <v>3</v>
      </c>
      <c r="R379" s="19">
        <v>1</v>
      </c>
      <c r="S379" s="19">
        <v>25</v>
      </c>
      <c r="T379" s="14">
        <v>107000</v>
      </c>
      <c r="U379" s="14">
        <v>130000</v>
      </c>
      <c r="V379" s="14">
        <v>60000</v>
      </c>
      <c r="W379" s="4">
        <f t="shared" si="15"/>
        <v>0.21495327102803738</v>
      </c>
      <c r="Z379" s="11">
        <f t="shared" si="16"/>
        <v>0.46153846153846156</v>
      </c>
      <c r="AA379" s="19">
        <f t="shared" si="17"/>
        <v>70000</v>
      </c>
    </row>
    <row r="380" spans="2:27" x14ac:dyDescent="0.45">
      <c r="B380" s="7">
        <v>342</v>
      </c>
      <c r="C380" s="1" t="s">
        <v>86</v>
      </c>
      <c r="D380" s="1" t="s">
        <v>555</v>
      </c>
      <c r="E380" s="1" t="s">
        <v>559</v>
      </c>
      <c r="F380" s="1" t="s">
        <v>558</v>
      </c>
      <c r="G380" s="19">
        <v>5</v>
      </c>
      <c r="H380" s="19">
        <v>43</v>
      </c>
      <c r="I380" s="19">
        <v>16</v>
      </c>
      <c r="J380" s="19">
        <v>29</v>
      </c>
      <c r="K380" s="2" t="s">
        <v>324</v>
      </c>
      <c r="L380" s="2" t="s">
        <v>433</v>
      </c>
      <c r="M380" s="19">
        <v>1999</v>
      </c>
      <c r="N380" s="1" t="s">
        <v>447</v>
      </c>
      <c r="O380" s="19">
        <v>570</v>
      </c>
      <c r="P380" s="1" t="s">
        <v>18</v>
      </c>
      <c r="Q380" s="19">
        <v>3</v>
      </c>
      <c r="R380" s="19">
        <v>1</v>
      </c>
      <c r="S380" s="19">
        <v>24</v>
      </c>
      <c r="T380" s="14">
        <v>105000</v>
      </c>
      <c r="U380" s="14">
        <v>130000</v>
      </c>
      <c r="V380" s="14">
        <v>49000</v>
      </c>
      <c r="W380" s="4">
        <f t="shared" si="15"/>
        <v>0.23809523809523808</v>
      </c>
      <c r="Z380" s="11">
        <f t="shared" si="16"/>
        <v>0.37692307692307692</v>
      </c>
      <c r="AA380" s="19">
        <f t="shared" si="17"/>
        <v>81000</v>
      </c>
    </row>
    <row r="381" spans="2:27" x14ac:dyDescent="0.45">
      <c r="B381" s="7">
        <v>621</v>
      </c>
      <c r="C381" s="1" t="s">
        <v>7</v>
      </c>
      <c r="D381" s="1" t="s">
        <v>626</v>
      </c>
      <c r="E381" s="1" t="s">
        <v>631</v>
      </c>
      <c r="F381" s="1" t="s">
        <v>632</v>
      </c>
      <c r="G381" s="19">
        <v>5</v>
      </c>
      <c r="H381" s="19">
        <v>22</v>
      </c>
      <c r="I381" s="19">
        <v>38</v>
      </c>
      <c r="J381" s="19">
        <v>36</v>
      </c>
      <c r="K381" s="1" t="s">
        <v>365</v>
      </c>
      <c r="L381" s="2" t="s">
        <v>433</v>
      </c>
      <c r="M381" s="19">
        <v>1999</v>
      </c>
      <c r="N381" s="1" t="s">
        <v>440</v>
      </c>
      <c r="O381" s="19">
        <v>314</v>
      </c>
      <c r="P381" s="1" t="s">
        <v>5</v>
      </c>
      <c r="Q381" s="19">
        <v>3</v>
      </c>
      <c r="R381" s="19">
        <v>1</v>
      </c>
      <c r="S381" s="19">
        <v>25</v>
      </c>
      <c r="T381" s="14">
        <v>106000</v>
      </c>
      <c r="U381" s="14">
        <v>130000</v>
      </c>
      <c r="V381" s="14">
        <v>48900</v>
      </c>
      <c r="W381" s="4">
        <f t="shared" si="15"/>
        <v>0.22641509433962265</v>
      </c>
      <c r="Z381" s="11">
        <f t="shared" si="16"/>
        <v>0.37615384615384617</v>
      </c>
      <c r="AA381" s="19">
        <f t="shared" si="17"/>
        <v>81100</v>
      </c>
    </row>
    <row r="382" spans="2:27" x14ac:dyDescent="0.45">
      <c r="B382" s="7">
        <v>884</v>
      </c>
      <c r="C382" s="1" t="s">
        <v>95</v>
      </c>
      <c r="D382" s="1" t="s">
        <v>781</v>
      </c>
      <c r="E382" s="1" t="s">
        <v>800</v>
      </c>
      <c r="F382" s="1" t="s">
        <v>801</v>
      </c>
      <c r="G382" s="19" t="s">
        <v>802</v>
      </c>
      <c r="H382" s="19">
        <v>40</v>
      </c>
      <c r="I382" s="19">
        <v>38</v>
      </c>
      <c r="J382" s="19">
        <v>40</v>
      </c>
      <c r="K382" s="1" t="s">
        <v>374</v>
      </c>
      <c r="L382" s="2" t="s">
        <v>439</v>
      </c>
      <c r="M382" s="19">
        <v>2003</v>
      </c>
      <c r="N382" s="1" t="s">
        <v>447</v>
      </c>
      <c r="O382" s="19">
        <v>558</v>
      </c>
      <c r="P382" s="1" t="s">
        <v>18</v>
      </c>
      <c r="Q382" s="19">
        <v>3</v>
      </c>
      <c r="R382" s="19">
        <v>2</v>
      </c>
      <c r="S382" s="19">
        <v>32</v>
      </c>
      <c r="T382" s="14">
        <v>118000</v>
      </c>
      <c r="U382" s="14">
        <v>130000</v>
      </c>
      <c r="V382" s="14">
        <v>60000</v>
      </c>
      <c r="W382" s="4">
        <f t="shared" si="15"/>
        <v>0.10169491525423729</v>
      </c>
      <c r="Z382" s="11">
        <f t="shared" si="16"/>
        <v>0.46153846153846156</v>
      </c>
      <c r="AA382" s="19">
        <f t="shared" si="17"/>
        <v>70000</v>
      </c>
    </row>
    <row r="383" spans="2:27" x14ac:dyDescent="0.45">
      <c r="B383" s="7">
        <v>999</v>
      </c>
      <c r="C383" s="1" t="s">
        <v>89</v>
      </c>
      <c r="D383" s="1" t="s">
        <v>816</v>
      </c>
      <c r="E383" s="1" t="s">
        <v>837</v>
      </c>
      <c r="F383" s="1" t="s">
        <v>833</v>
      </c>
      <c r="G383" s="19">
        <v>4</v>
      </c>
      <c r="H383" s="19">
        <v>33</v>
      </c>
      <c r="I383" s="19">
        <v>21</v>
      </c>
      <c r="J383" s="19">
        <v>33</v>
      </c>
      <c r="K383" s="2" t="s">
        <v>297</v>
      </c>
      <c r="L383" s="2" t="s">
        <v>439</v>
      </c>
      <c r="M383" s="19">
        <v>2002</v>
      </c>
      <c r="N383" s="1" t="s">
        <v>440</v>
      </c>
      <c r="O383" s="19">
        <v>423</v>
      </c>
      <c r="P383" s="1" t="s">
        <v>18</v>
      </c>
      <c r="Q383" s="19">
        <v>3</v>
      </c>
      <c r="R383" s="19">
        <v>2</v>
      </c>
      <c r="S383" s="19">
        <v>33</v>
      </c>
      <c r="T383" s="14">
        <v>129500</v>
      </c>
      <c r="U383" s="14">
        <v>130000</v>
      </c>
      <c r="V383" s="14">
        <v>78000</v>
      </c>
      <c r="W383" s="4">
        <f t="shared" si="15"/>
        <v>3.8610038610038611E-3</v>
      </c>
      <c r="Z383" s="11">
        <f t="shared" si="16"/>
        <v>0.6</v>
      </c>
      <c r="AA383" s="19">
        <f t="shared" si="17"/>
        <v>52000</v>
      </c>
    </row>
    <row r="384" spans="2:27" x14ac:dyDescent="0.45">
      <c r="B384" s="7">
        <v>1129</v>
      </c>
      <c r="C384" s="1" t="s">
        <v>1</v>
      </c>
      <c r="D384" s="1" t="s">
        <v>866</v>
      </c>
      <c r="E384" s="1" t="s">
        <v>872</v>
      </c>
      <c r="F384" s="1" t="s">
        <v>873</v>
      </c>
      <c r="G384" s="19">
        <v>10</v>
      </c>
      <c r="H384" s="19">
        <v>55</v>
      </c>
      <c r="I384" s="19">
        <v>25</v>
      </c>
      <c r="J384" s="19">
        <v>40</v>
      </c>
      <c r="K384" s="1" t="s">
        <v>344</v>
      </c>
      <c r="L384" s="2" t="s">
        <v>439</v>
      </c>
      <c r="M384" s="19">
        <v>2006</v>
      </c>
      <c r="N384" s="1" t="s">
        <v>440</v>
      </c>
      <c r="O384" s="19">
        <v>499</v>
      </c>
      <c r="P384" s="1" t="s">
        <v>18</v>
      </c>
      <c r="Q384" s="19">
        <v>3</v>
      </c>
      <c r="R384" s="19">
        <v>2</v>
      </c>
      <c r="S384" s="19">
        <v>33</v>
      </c>
      <c r="T384" s="14">
        <v>134500</v>
      </c>
      <c r="U384" s="14">
        <v>130000</v>
      </c>
      <c r="V384" s="14">
        <v>63000</v>
      </c>
      <c r="W384" s="4">
        <f t="shared" si="15"/>
        <v>-3.3457249070631967E-2</v>
      </c>
      <c r="Z384" s="11">
        <f t="shared" si="16"/>
        <v>0.48461538461538461</v>
      </c>
      <c r="AA384" s="19">
        <f t="shared" si="17"/>
        <v>67000</v>
      </c>
    </row>
    <row r="385" spans="2:27" x14ac:dyDescent="0.45">
      <c r="B385" s="7">
        <v>1316</v>
      </c>
      <c r="C385" s="1" t="s">
        <v>901</v>
      </c>
      <c r="D385" s="1" t="s">
        <v>899</v>
      </c>
      <c r="E385" s="1" t="s">
        <v>922</v>
      </c>
      <c r="F385" s="1" t="s">
        <v>919</v>
      </c>
      <c r="G385" s="19">
        <v>4</v>
      </c>
      <c r="H385" s="19">
        <v>42</v>
      </c>
      <c r="I385" s="19">
        <v>28</v>
      </c>
      <c r="J385" s="19">
        <v>12</v>
      </c>
      <c r="K385" s="1" t="s">
        <v>120</v>
      </c>
      <c r="L385" s="2" t="s">
        <v>433</v>
      </c>
      <c r="M385" s="19">
        <v>1995</v>
      </c>
      <c r="N385" s="1" t="s">
        <v>447</v>
      </c>
      <c r="O385" s="19">
        <v>895</v>
      </c>
      <c r="P385" s="1" t="s">
        <v>18</v>
      </c>
      <c r="Q385" s="19">
        <v>3</v>
      </c>
      <c r="R385" s="19">
        <v>2</v>
      </c>
      <c r="S385" s="19">
        <v>33</v>
      </c>
      <c r="T385" s="14">
        <v>121500</v>
      </c>
      <c r="U385" s="14">
        <v>130000</v>
      </c>
      <c r="V385" s="14">
        <v>59000</v>
      </c>
      <c r="W385" s="4">
        <f t="shared" si="15"/>
        <v>6.9958847736625515E-2</v>
      </c>
      <c r="Z385" s="11">
        <f t="shared" si="16"/>
        <v>0.45384615384615384</v>
      </c>
      <c r="AA385" s="19">
        <f t="shared" si="17"/>
        <v>71000</v>
      </c>
    </row>
    <row r="386" spans="2:27" x14ac:dyDescent="0.45">
      <c r="B386" s="7">
        <v>1317</v>
      </c>
      <c r="C386" s="1" t="s">
        <v>901</v>
      </c>
      <c r="D386" s="1" t="s">
        <v>899</v>
      </c>
      <c r="E386" s="1" t="s">
        <v>922</v>
      </c>
      <c r="F386" s="1" t="s">
        <v>919</v>
      </c>
      <c r="G386" s="19">
        <v>4</v>
      </c>
      <c r="H386" s="19">
        <v>42</v>
      </c>
      <c r="I386" s="19">
        <v>28</v>
      </c>
      <c r="J386" s="19">
        <v>12</v>
      </c>
      <c r="K386" s="1" t="s">
        <v>120</v>
      </c>
      <c r="L386" s="2" t="s">
        <v>433</v>
      </c>
      <c r="M386" s="19">
        <v>1995</v>
      </c>
      <c r="N386" s="1" t="s">
        <v>447</v>
      </c>
      <c r="O386" s="19">
        <v>895</v>
      </c>
      <c r="P386" s="1" t="s">
        <v>18</v>
      </c>
      <c r="Q386" s="19">
        <v>3</v>
      </c>
      <c r="R386" s="19">
        <v>2</v>
      </c>
      <c r="S386" s="19">
        <v>28</v>
      </c>
      <c r="T386" s="14">
        <v>109000</v>
      </c>
      <c r="U386" s="14">
        <v>130000</v>
      </c>
      <c r="V386" s="14">
        <v>58000</v>
      </c>
      <c r="W386" s="4">
        <f t="shared" si="15"/>
        <v>0.19266055045871561</v>
      </c>
      <c r="Z386" s="11">
        <f t="shared" si="16"/>
        <v>0.44615384615384618</v>
      </c>
      <c r="AA386" s="19">
        <f t="shared" si="17"/>
        <v>72000</v>
      </c>
    </row>
    <row r="387" spans="2:27" x14ac:dyDescent="0.45">
      <c r="B387" s="7">
        <v>1492</v>
      </c>
      <c r="C387" s="1" t="s">
        <v>76</v>
      </c>
      <c r="D387" s="1" t="s">
        <v>964</v>
      </c>
      <c r="E387" s="1" t="s">
        <v>973</v>
      </c>
      <c r="F387" s="1" t="s">
        <v>974</v>
      </c>
      <c r="G387" s="19">
        <v>5</v>
      </c>
      <c r="H387" s="19">
        <v>28</v>
      </c>
      <c r="I387" s="19">
        <v>30</v>
      </c>
      <c r="J387" s="19">
        <v>25</v>
      </c>
      <c r="K387" s="1" t="s">
        <v>345</v>
      </c>
      <c r="L387" s="2" t="s">
        <v>433</v>
      </c>
      <c r="M387" s="19">
        <v>1996</v>
      </c>
      <c r="N387" s="1" t="s">
        <v>440</v>
      </c>
      <c r="O387" s="19">
        <v>434</v>
      </c>
      <c r="P387" s="1" t="s">
        <v>5</v>
      </c>
      <c r="Q387" s="19">
        <v>3</v>
      </c>
      <c r="R387" s="19">
        <v>1</v>
      </c>
      <c r="S387" s="19">
        <v>29</v>
      </c>
      <c r="T387" s="14">
        <v>108000</v>
      </c>
      <c r="U387" s="14">
        <v>130000</v>
      </c>
      <c r="V387" s="14">
        <v>50000</v>
      </c>
      <c r="W387" s="4">
        <f t="shared" si="15"/>
        <v>0.20370370370370369</v>
      </c>
      <c r="Z387" s="11">
        <f t="shared" si="16"/>
        <v>0.38461538461538464</v>
      </c>
      <c r="AA387" s="19">
        <f t="shared" si="17"/>
        <v>80000</v>
      </c>
    </row>
    <row r="388" spans="2:27" x14ac:dyDescent="0.45">
      <c r="B388" s="7">
        <v>1637</v>
      </c>
      <c r="C388" s="1" t="s">
        <v>77</v>
      </c>
      <c r="D388" s="1" t="s">
        <v>998</v>
      </c>
      <c r="E388" s="1" t="s">
        <v>1014</v>
      </c>
      <c r="F388" s="1" t="s">
        <v>1015</v>
      </c>
      <c r="G388" s="19">
        <v>8</v>
      </c>
      <c r="H388" s="19">
        <v>42</v>
      </c>
      <c r="I388" s="19">
        <v>35</v>
      </c>
      <c r="J388" s="19">
        <v>20</v>
      </c>
      <c r="K388" s="6" t="s">
        <v>223</v>
      </c>
      <c r="L388" s="2" t="s">
        <v>453</v>
      </c>
      <c r="M388" s="19">
        <v>2017</v>
      </c>
      <c r="N388" s="1" t="s">
        <v>434</v>
      </c>
      <c r="O388" s="19">
        <v>1186</v>
      </c>
      <c r="P388" s="1" t="s">
        <v>18</v>
      </c>
      <c r="Q388" s="19">
        <v>3</v>
      </c>
      <c r="R388" s="19">
        <v>2</v>
      </c>
      <c r="S388" s="19">
        <v>25</v>
      </c>
      <c r="T388" s="14">
        <v>110000</v>
      </c>
      <c r="U388" s="14">
        <v>130000</v>
      </c>
      <c r="V388" s="14">
        <v>61000</v>
      </c>
      <c r="W388" s="4">
        <f t="shared" si="15"/>
        <v>0.18181818181818182</v>
      </c>
      <c r="Z388" s="11">
        <f t="shared" si="16"/>
        <v>0.46923076923076923</v>
      </c>
      <c r="AA388" s="19">
        <f t="shared" si="17"/>
        <v>69000</v>
      </c>
    </row>
    <row r="389" spans="2:27" x14ac:dyDescent="0.45">
      <c r="B389" s="7">
        <v>1658</v>
      </c>
      <c r="C389" s="1" t="s">
        <v>77</v>
      </c>
      <c r="D389" s="1" t="s">
        <v>998</v>
      </c>
      <c r="E389" s="1" t="s">
        <v>1021</v>
      </c>
      <c r="F389" s="1" t="s">
        <v>1012</v>
      </c>
      <c r="G389" s="19">
        <v>4</v>
      </c>
      <c r="H389" s="19">
        <v>45</v>
      </c>
      <c r="I389" s="19">
        <v>42</v>
      </c>
      <c r="J389" s="19">
        <v>35</v>
      </c>
      <c r="K389" s="6" t="s">
        <v>142</v>
      </c>
      <c r="L389" s="2" t="s">
        <v>439</v>
      </c>
      <c r="M389" s="19">
        <v>2011</v>
      </c>
      <c r="N389" s="1" t="s">
        <v>434</v>
      </c>
      <c r="O389" s="19">
        <v>1025</v>
      </c>
      <c r="P389" s="1" t="s">
        <v>18</v>
      </c>
      <c r="Q389" s="19">
        <v>3</v>
      </c>
      <c r="R389" s="19">
        <v>2</v>
      </c>
      <c r="S389" s="19">
        <v>33</v>
      </c>
      <c r="T389" s="14">
        <v>134000</v>
      </c>
      <c r="U389" s="14">
        <v>130000</v>
      </c>
      <c r="V389" s="14">
        <v>70000</v>
      </c>
      <c r="W389" s="4">
        <f t="shared" si="15"/>
        <v>-2.9850746268656716E-2</v>
      </c>
      <c r="Z389" s="11">
        <f t="shared" si="16"/>
        <v>0.53846153846153844</v>
      </c>
      <c r="AA389" s="19">
        <f t="shared" si="17"/>
        <v>60000</v>
      </c>
    </row>
    <row r="390" spans="2:27" x14ac:dyDescent="0.45">
      <c r="B390" s="7">
        <v>1737</v>
      </c>
      <c r="C390" s="1" t="s">
        <v>1037</v>
      </c>
      <c r="D390" s="1" t="s">
        <v>1032</v>
      </c>
      <c r="E390" s="1" t="s">
        <v>1038</v>
      </c>
      <c r="F390" s="1" t="s">
        <v>1039</v>
      </c>
      <c r="G390" s="19">
        <v>3</v>
      </c>
      <c r="H390" s="19">
        <v>40</v>
      </c>
      <c r="I390" s="19">
        <v>38</v>
      </c>
      <c r="J390" s="19">
        <v>42</v>
      </c>
      <c r="K390" s="2" t="s">
        <v>408</v>
      </c>
      <c r="L390" s="2" t="s">
        <v>433</v>
      </c>
      <c r="M390" s="19">
        <v>1999</v>
      </c>
      <c r="N390" s="1" t="s">
        <v>440</v>
      </c>
      <c r="O390" s="19">
        <v>384</v>
      </c>
      <c r="P390" s="1" t="s">
        <v>5</v>
      </c>
      <c r="Q390" s="19">
        <v>3</v>
      </c>
      <c r="R390" s="19">
        <v>1</v>
      </c>
      <c r="S390" s="19">
        <v>26</v>
      </c>
      <c r="T390" s="14">
        <v>107000</v>
      </c>
      <c r="U390" s="14">
        <v>130000</v>
      </c>
      <c r="V390" s="14">
        <v>46000</v>
      </c>
      <c r="W390" s="4">
        <f t="shared" ref="W390:W453" si="18">(U390-$T390)/$T390</f>
        <v>0.21495327102803738</v>
      </c>
      <c r="Z390" s="11">
        <f t="shared" ref="Z390:Z453" si="19">V390/U390</f>
        <v>0.35384615384615387</v>
      </c>
      <c r="AA390" s="19">
        <f t="shared" ref="AA390:AA453" si="20">U390-V390</f>
        <v>84000</v>
      </c>
    </row>
    <row r="391" spans="2:27" x14ac:dyDescent="0.45">
      <c r="B391" s="7">
        <v>1941</v>
      </c>
      <c r="C391" s="1" t="s">
        <v>143</v>
      </c>
      <c r="D391" s="1" t="s">
        <v>1077</v>
      </c>
      <c r="E391" s="1" t="s">
        <v>1097</v>
      </c>
      <c r="F391" s="1" t="s">
        <v>1098</v>
      </c>
      <c r="G391" s="19">
        <v>5</v>
      </c>
      <c r="H391" s="19">
        <v>45</v>
      </c>
      <c r="I391" s="19">
        <v>25</v>
      </c>
      <c r="J391" s="19">
        <v>32</v>
      </c>
      <c r="K391" s="1" t="s">
        <v>191</v>
      </c>
      <c r="L391" s="2" t="s">
        <v>433</v>
      </c>
      <c r="M391" s="19">
        <v>1997</v>
      </c>
      <c r="N391" s="1" t="s">
        <v>447</v>
      </c>
      <c r="O391" s="19">
        <v>972</v>
      </c>
      <c r="P391" s="1" t="s">
        <v>18</v>
      </c>
      <c r="Q391" s="19">
        <v>3</v>
      </c>
      <c r="R391" s="19">
        <v>1</v>
      </c>
      <c r="S391" s="19">
        <v>28</v>
      </c>
      <c r="T391" s="14">
        <v>118500</v>
      </c>
      <c r="U391" s="14">
        <v>130000</v>
      </c>
      <c r="V391" s="14">
        <v>66000</v>
      </c>
      <c r="W391" s="4">
        <f t="shared" si="18"/>
        <v>9.7046413502109699E-2</v>
      </c>
      <c r="Z391" s="11">
        <f t="shared" si="19"/>
        <v>0.50769230769230766</v>
      </c>
      <c r="AA391" s="19">
        <f t="shared" si="20"/>
        <v>64000</v>
      </c>
    </row>
    <row r="392" spans="2:27" x14ac:dyDescent="0.45">
      <c r="B392" s="7">
        <v>2067</v>
      </c>
      <c r="C392" s="1" t="s">
        <v>11</v>
      </c>
      <c r="D392" s="1" t="s">
        <v>1107</v>
      </c>
      <c r="E392" s="1" t="s">
        <v>1135</v>
      </c>
      <c r="F392" s="1" t="s">
        <v>1126</v>
      </c>
      <c r="G392" s="19">
        <v>4</v>
      </c>
      <c r="H392" s="19">
        <v>38</v>
      </c>
      <c r="I392" s="19">
        <v>12</v>
      </c>
      <c r="J392" s="19">
        <v>25</v>
      </c>
      <c r="K392" s="1" t="s">
        <v>12</v>
      </c>
      <c r="L392" s="2" t="s">
        <v>453</v>
      </c>
      <c r="M392" s="19">
        <v>2020</v>
      </c>
      <c r="N392" s="1" t="s">
        <v>440</v>
      </c>
      <c r="O392" s="19">
        <v>263</v>
      </c>
      <c r="P392" s="1" t="s">
        <v>18</v>
      </c>
      <c r="Q392" s="19">
        <v>3</v>
      </c>
      <c r="R392" s="19">
        <v>2</v>
      </c>
      <c r="S392" s="19">
        <v>25</v>
      </c>
      <c r="T392" s="14">
        <v>0</v>
      </c>
      <c r="U392" s="14">
        <v>130000</v>
      </c>
      <c r="V392" s="14">
        <v>69000</v>
      </c>
      <c r="W392" s="4" t="e">
        <f t="shared" si="18"/>
        <v>#DIV/0!</v>
      </c>
      <c r="Z392" s="11">
        <f t="shared" si="19"/>
        <v>0.53076923076923077</v>
      </c>
      <c r="AA392" s="19">
        <f t="shared" si="20"/>
        <v>61000</v>
      </c>
    </row>
    <row r="393" spans="2:27" x14ac:dyDescent="0.45">
      <c r="B393" s="7">
        <v>2169</v>
      </c>
      <c r="C393" s="1" t="s">
        <v>92</v>
      </c>
      <c r="D393" s="1" t="s">
        <v>1150</v>
      </c>
      <c r="E393" s="1" t="s">
        <v>1159</v>
      </c>
      <c r="F393" s="1" t="s">
        <v>1160</v>
      </c>
      <c r="G393" s="19">
        <v>5</v>
      </c>
      <c r="H393" s="19">
        <v>50</v>
      </c>
      <c r="I393" s="19">
        <v>40</v>
      </c>
      <c r="J393" s="19">
        <v>22</v>
      </c>
      <c r="K393" s="2" t="s">
        <v>346</v>
      </c>
      <c r="L393" s="2" t="s">
        <v>453</v>
      </c>
      <c r="M393" s="19">
        <v>2020</v>
      </c>
      <c r="N393" s="1" t="s">
        <v>434</v>
      </c>
      <c r="O393" s="19">
        <v>2569</v>
      </c>
      <c r="P393" s="1" t="s">
        <v>18</v>
      </c>
      <c r="Q393" s="19">
        <v>3</v>
      </c>
      <c r="R393" s="19">
        <v>2</v>
      </c>
      <c r="S393" s="19">
        <v>25</v>
      </c>
      <c r="T393" s="14">
        <v>118500</v>
      </c>
      <c r="U393" s="14">
        <v>130000</v>
      </c>
      <c r="V393" s="14">
        <v>60000</v>
      </c>
      <c r="W393" s="4">
        <f t="shared" si="18"/>
        <v>9.7046413502109699E-2</v>
      </c>
      <c r="Z393" s="11">
        <f t="shared" si="19"/>
        <v>0.46153846153846156</v>
      </c>
      <c r="AA393" s="19">
        <f t="shared" si="20"/>
        <v>70000</v>
      </c>
    </row>
    <row r="394" spans="2:27" x14ac:dyDescent="0.45">
      <c r="B394" s="7">
        <v>2247</v>
      </c>
      <c r="C394" s="1" t="s">
        <v>92</v>
      </c>
      <c r="D394" s="1" t="s">
        <v>1150</v>
      </c>
      <c r="E394" s="1" t="s">
        <v>1179</v>
      </c>
      <c r="F394" s="1" t="s">
        <v>1180</v>
      </c>
      <c r="G394" s="19">
        <v>3</v>
      </c>
      <c r="H394" s="19">
        <v>48</v>
      </c>
      <c r="I394" s="19">
        <v>40</v>
      </c>
      <c r="J394" s="19">
        <v>20</v>
      </c>
      <c r="K394" s="2" t="s">
        <v>93</v>
      </c>
      <c r="L394" s="2" t="s">
        <v>453</v>
      </c>
      <c r="M394" s="19">
        <v>2019</v>
      </c>
      <c r="N394" s="1" t="s">
        <v>434</v>
      </c>
      <c r="O394" s="19">
        <v>1305</v>
      </c>
      <c r="P394" s="1" t="s">
        <v>18</v>
      </c>
      <c r="Q394" s="19">
        <v>3</v>
      </c>
      <c r="R394" s="19">
        <v>2</v>
      </c>
      <c r="S394" s="19">
        <v>34</v>
      </c>
      <c r="T394" s="14">
        <v>144000</v>
      </c>
      <c r="U394" s="14">
        <v>130000</v>
      </c>
      <c r="V394" s="14">
        <v>80000</v>
      </c>
      <c r="W394" s="4">
        <f t="shared" si="18"/>
        <v>-9.7222222222222224E-2</v>
      </c>
      <c r="Z394" s="11">
        <f t="shared" si="19"/>
        <v>0.61538461538461542</v>
      </c>
      <c r="AA394" s="19">
        <f t="shared" si="20"/>
        <v>50000</v>
      </c>
    </row>
    <row r="395" spans="2:27" x14ac:dyDescent="0.45">
      <c r="B395" s="7">
        <v>1114</v>
      </c>
      <c r="C395" s="1" t="s">
        <v>89</v>
      </c>
      <c r="D395" s="1" t="s">
        <v>816</v>
      </c>
      <c r="E395" s="1" t="s">
        <v>863</v>
      </c>
      <c r="F395" s="1" t="s">
        <v>856</v>
      </c>
      <c r="G395" s="19">
        <v>3</v>
      </c>
      <c r="H395" s="19">
        <v>30</v>
      </c>
      <c r="I395" s="19">
        <v>10</v>
      </c>
      <c r="J395" s="19">
        <v>26</v>
      </c>
      <c r="K395" s="2" t="s">
        <v>91</v>
      </c>
      <c r="L395" s="2" t="s">
        <v>433</v>
      </c>
      <c r="M395" s="19">
        <v>1997</v>
      </c>
      <c r="N395" s="1" t="s">
        <v>447</v>
      </c>
      <c r="O395" s="19">
        <v>901</v>
      </c>
      <c r="P395" s="1" t="s">
        <v>5</v>
      </c>
      <c r="Q395" s="19">
        <v>2</v>
      </c>
      <c r="R395" s="19">
        <v>1</v>
      </c>
      <c r="S395" s="19">
        <v>24</v>
      </c>
      <c r="T395" s="14">
        <v>106500</v>
      </c>
      <c r="U395" s="14">
        <v>131500</v>
      </c>
      <c r="V395" s="14">
        <v>52000</v>
      </c>
      <c r="W395" s="4">
        <f t="shared" si="18"/>
        <v>0.23474178403755869</v>
      </c>
      <c r="Z395" s="11">
        <f t="shared" si="19"/>
        <v>0.39543726235741444</v>
      </c>
      <c r="AA395" s="19">
        <f t="shared" si="20"/>
        <v>79500</v>
      </c>
    </row>
    <row r="396" spans="2:27" x14ac:dyDescent="0.45">
      <c r="B396" s="7">
        <v>690</v>
      </c>
      <c r="C396" s="1" t="s">
        <v>52</v>
      </c>
      <c r="D396" s="1" t="s">
        <v>652</v>
      </c>
      <c r="E396" s="1" t="s">
        <v>665</v>
      </c>
      <c r="F396" s="1" t="s">
        <v>666</v>
      </c>
      <c r="G396" s="19">
        <v>3</v>
      </c>
      <c r="H396" s="19">
        <v>35</v>
      </c>
      <c r="I396" s="19">
        <v>15</v>
      </c>
      <c r="J396" s="19">
        <v>25</v>
      </c>
      <c r="K396" s="1" t="s">
        <v>302</v>
      </c>
      <c r="L396" s="2" t="s">
        <v>439</v>
      </c>
      <c r="M396" s="19">
        <v>2000</v>
      </c>
      <c r="N396" s="1" t="s">
        <v>447</v>
      </c>
      <c r="O396" s="19">
        <v>655</v>
      </c>
      <c r="P396" s="5" t="s">
        <v>5</v>
      </c>
      <c r="Q396" s="18">
        <v>3</v>
      </c>
      <c r="R396" s="19">
        <v>1</v>
      </c>
      <c r="S396" s="18">
        <v>24</v>
      </c>
      <c r="T396" s="14">
        <v>104700</v>
      </c>
      <c r="U396" s="14">
        <v>132000</v>
      </c>
      <c r="V396" s="14">
        <v>56000</v>
      </c>
      <c r="W396" s="4">
        <f t="shared" si="18"/>
        <v>0.26074498567335241</v>
      </c>
      <c r="Z396" s="11">
        <f t="shared" si="19"/>
        <v>0.42424242424242425</v>
      </c>
      <c r="AA396" s="19">
        <f t="shared" si="20"/>
        <v>76000</v>
      </c>
    </row>
    <row r="397" spans="2:27" x14ac:dyDescent="0.45">
      <c r="B397" s="7">
        <v>1487</v>
      </c>
      <c r="C397" s="1" t="s">
        <v>75</v>
      </c>
      <c r="D397" s="1" t="s">
        <v>964</v>
      </c>
      <c r="E397" s="1" t="s">
        <v>971</v>
      </c>
      <c r="F397" s="1" t="s">
        <v>972</v>
      </c>
      <c r="G397" s="19">
        <v>6</v>
      </c>
      <c r="H397" s="19">
        <v>35</v>
      </c>
      <c r="I397" s="19">
        <v>35</v>
      </c>
      <c r="J397" s="19">
        <v>22</v>
      </c>
      <c r="K397" s="1" t="s">
        <v>403</v>
      </c>
      <c r="L397" s="2" t="s">
        <v>433</v>
      </c>
      <c r="M397" s="19">
        <v>1998</v>
      </c>
      <c r="N397" s="1" t="s">
        <v>434</v>
      </c>
      <c r="O397" s="19">
        <v>1017</v>
      </c>
      <c r="P397" s="1" t="s">
        <v>18</v>
      </c>
      <c r="Q397" s="19">
        <v>3</v>
      </c>
      <c r="R397" s="19">
        <v>2</v>
      </c>
      <c r="S397" s="19">
        <v>33</v>
      </c>
      <c r="T397" s="14">
        <v>129500</v>
      </c>
      <c r="U397" s="14">
        <v>132000</v>
      </c>
      <c r="V397" s="14">
        <v>58000</v>
      </c>
      <c r="W397" s="4">
        <f t="shared" si="18"/>
        <v>1.9305019305019305E-2</v>
      </c>
      <c r="Z397" s="11">
        <f t="shared" si="19"/>
        <v>0.43939393939393939</v>
      </c>
      <c r="AA397" s="19">
        <f t="shared" si="20"/>
        <v>74000</v>
      </c>
    </row>
    <row r="398" spans="2:27" x14ac:dyDescent="0.45">
      <c r="B398" s="7">
        <v>842</v>
      </c>
      <c r="C398" s="1" t="s">
        <v>20</v>
      </c>
      <c r="D398" s="1" t="s">
        <v>781</v>
      </c>
      <c r="E398" s="1" t="s">
        <v>789</v>
      </c>
      <c r="F398" s="1" t="s">
        <v>785</v>
      </c>
      <c r="G398" s="19">
        <v>4</v>
      </c>
      <c r="H398" s="19">
        <v>45</v>
      </c>
      <c r="I398" s="19">
        <v>38</v>
      </c>
      <c r="J398" s="19">
        <v>35</v>
      </c>
      <c r="K398" s="1" t="s">
        <v>418</v>
      </c>
      <c r="L398" s="2" t="s">
        <v>453</v>
      </c>
      <c r="M398" s="19">
        <v>2019</v>
      </c>
      <c r="N398" s="1" t="s">
        <v>447</v>
      </c>
      <c r="O398" s="19">
        <v>900</v>
      </c>
      <c r="P398" s="1" t="s">
        <v>18</v>
      </c>
      <c r="Q398" s="19">
        <v>3</v>
      </c>
      <c r="R398" s="19">
        <v>2</v>
      </c>
      <c r="S398" s="19">
        <v>25</v>
      </c>
      <c r="T398" s="14">
        <v>115000</v>
      </c>
      <c r="U398" s="14">
        <v>133000</v>
      </c>
      <c r="V398" s="14">
        <v>58000</v>
      </c>
      <c r="W398" s="4">
        <f t="shared" si="18"/>
        <v>0.15652173913043479</v>
      </c>
      <c r="Z398" s="11">
        <f t="shared" si="19"/>
        <v>0.43609022556390975</v>
      </c>
      <c r="AA398" s="19">
        <f t="shared" si="20"/>
        <v>75000</v>
      </c>
    </row>
    <row r="399" spans="2:27" x14ac:dyDescent="0.45">
      <c r="B399" s="7">
        <v>697</v>
      </c>
      <c r="C399" s="1" t="s">
        <v>52</v>
      </c>
      <c r="D399" s="1" t="s">
        <v>652</v>
      </c>
      <c r="E399" s="1" t="s">
        <v>668</v>
      </c>
      <c r="F399" s="1" t="s">
        <v>666</v>
      </c>
      <c r="G399" s="19">
        <v>6</v>
      </c>
      <c r="H399" s="19">
        <v>33</v>
      </c>
      <c r="I399" s="19">
        <v>13</v>
      </c>
      <c r="J399" s="19">
        <v>23</v>
      </c>
      <c r="K399" s="1" t="s">
        <v>300</v>
      </c>
      <c r="L399" s="2" t="s">
        <v>433</v>
      </c>
      <c r="M399" s="19">
        <v>1999</v>
      </c>
      <c r="N399" s="1" t="s">
        <v>434</v>
      </c>
      <c r="O399" s="19">
        <v>2298</v>
      </c>
      <c r="P399" s="5" t="s">
        <v>18</v>
      </c>
      <c r="Q399" s="18">
        <v>3</v>
      </c>
      <c r="R399" s="19">
        <v>2</v>
      </c>
      <c r="S399" s="18">
        <v>33</v>
      </c>
      <c r="T399" s="14">
        <v>133000</v>
      </c>
      <c r="U399" s="14">
        <v>134000</v>
      </c>
      <c r="V399" s="14">
        <v>68000</v>
      </c>
      <c r="W399" s="4">
        <f t="shared" si="18"/>
        <v>7.5187969924812026E-3</v>
      </c>
      <c r="Z399" s="11">
        <f t="shared" si="19"/>
        <v>0.5074626865671642</v>
      </c>
      <c r="AA399" s="19">
        <f t="shared" si="20"/>
        <v>66000</v>
      </c>
    </row>
    <row r="400" spans="2:27" x14ac:dyDescent="0.45">
      <c r="B400" s="7">
        <v>958</v>
      </c>
      <c r="C400" s="1" t="s">
        <v>421</v>
      </c>
      <c r="D400" s="1" t="s">
        <v>816</v>
      </c>
      <c r="E400" s="1" t="s">
        <v>821</v>
      </c>
      <c r="F400" s="1" t="s">
        <v>822</v>
      </c>
      <c r="G400" s="19">
        <v>6</v>
      </c>
      <c r="H400" s="19">
        <v>22</v>
      </c>
      <c r="I400" s="19">
        <v>15</v>
      </c>
      <c r="J400" s="19">
        <v>25</v>
      </c>
      <c r="K400" s="2" t="s">
        <v>426</v>
      </c>
      <c r="L400" s="2" t="s">
        <v>439</v>
      </c>
      <c r="M400" s="19">
        <v>2003</v>
      </c>
      <c r="N400" s="1" t="s">
        <v>440</v>
      </c>
      <c r="O400" s="19">
        <v>206</v>
      </c>
      <c r="P400" s="1" t="s">
        <v>18</v>
      </c>
      <c r="Q400" s="19">
        <v>3</v>
      </c>
      <c r="R400" s="19">
        <v>2</v>
      </c>
      <c r="S400" s="19">
        <v>31</v>
      </c>
      <c r="T400" s="14">
        <v>107000</v>
      </c>
      <c r="U400" s="14">
        <v>134000</v>
      </c>
      <c r="V400" s="14">
        <v>50000</v>
      </c>
      <c r="W400" s="4">
        <f t="shared" si="18"/>
        <v>0.25233644859813081</v>
      </c>
      <c r="Z400" s="11">
        <f t="shared" si="19"/>
        <v>0.37313432835820898</v>
      </c>
      <c r="AA400" s="19">
        <f t="shared" si="20"/>
        <v>84000</v>
      </c>
    </row>
    <row r="401" spans="2:27" x14ac:dyDescent="0.45">
      <c r="B401" s="7">
        <v>1093</v>
      </c>
      <c r="C401" s="1" t="s">
        <v>14</v>
      </c>
      <c r="D401" s="1" t="s">
        <v>816</v>
      </c>
      <c r="E401" s="1" t="s">
        <v>859</v>
      </c>
      <c r="F401" s="1" t="s">
        <v>818</v>
      </c>
      <c r="G401" s="19">
        <v>4</v>
      </c>
      <c r="H401" s="19">
        <v>26</v>
      </c>
      <c r="I401" s="19">
        <v>22</v>
      </c>
      <c r="J401" s="19">
        <v>32</v>
      </c>
      <c r="K401" s="2" t="s">
        <v>146</v>
      </c>
      <c r="L401" s="2" t="s">
        <v>439</v>
      </c>
      <c r="M401" s="19">
        <v>2004</v>
      </c>
      <c r="N401" s="1" t="s">
        <v>434</v>
      </c>
      <c r="O401" s="19">
        <v>1656</v>
      </c>
      <c r="P401" s="1" t="s">
        <v>18</v>
      </c>
      <c r="Q401" s="19">
        <v>3</v>
      </c>
      <c r="R401" s="19">
        <v>2</v>
      </c>
      <c r="S401" s="19">
        <v>25</v>
      </c>
      <c r="T401" s="14">
        <v>0</v>
      </c>
      <c r="U401" s="14">
        <v>134000</v>
      </c>
      <c r="V401" s="14">
        <v>63000</v>
      </c>
      <c r="W401" s="4" t="e">
        <f t="shared" si="18"/>
        <v>#DIV/0!</v>
      </c>
      <c r="Z401" s="11">
        <f t="shared" si="19"/>
        <v>0.47014925373134331</v>
      </c>
      <c r="AA401" s="19">
        <f t="shared" si="20"/>
        <v>71000</v>
      </c>
    </row>
    <row r="402" spans="2:27" x14ac:dyDescent="0.45">
      <c r="B402" s="7">
        <v>61</v>
      </c>
      <c r="C402" s="1" t="s">
        <v>465</v>
      </c>
      <c r="D402" s="1" t="s">
        <v>458</v>
      </c>
      <c r="E402" s="1" t="s">
        <v>467</v>
      </c>
      <c r="F402" s="1" t="s">
        <v>443</v>
      </c>
      <c r="G402" s="19">
        <v>7</v>
      </c>
      <c r="H402" s="19">
        <v>15</v>
      </c>
      <c r="I402" s="19">
        <v>35</v>
      </c>
      <c r="J402" s="19">
        <v>45</v>
      </c>
      <c r="K402" s="2" t="s">
        <v>468</v>
      </c>
      <c r="L402" s="2" t="s">
        <v>439</v>
      </c>
      <c r="M402" s="19">
        <v>2008</v>
      </c>
      <c r="N402" s="1" t="s">
        <v>469</v>
      </c>
      <c r="O402" s="19">
        <v>1144</v>
      </c>
      <c r="P402" s="1" t="s">
        <v>460</v>
      </c>
      <c r="Q402" s="19">
        <v>1</v>
      </c>
      <c r="R402" s="22">
        <v>1</v>
      </c>
      <c r="S402" s="19">
        <v>14</v>
      </c>
      <c r="T402" s="15">
        <v>128000</v>
      </c>
      <c r="U402" s="14">
        <v>134500</v>
      </c>
      <c r="V402" s="14">
        <v>57500</v>
      </c>
      <c r="W402" s="4">
        <f t="shared" si="18"/>
        <v>5.078125E-2</v>
      </c>
      <c r="Z402" s="11">
        <f t="shared" si="19"/>
        <v>0.42750929368029739</v>
      </c>
      <c r="AA402" s="19">
        <f t="shared" si="20"/>
        <v>77000</v>
      </c>
    </row>
    <row r="403" spans="2:27" x14ac:dyDescent="0.45">
      <c r="B403" s="7">
        <v>232</v>
      </c>
      <c r="C403" s="1" t="s">
        <v>510</v>
      </c>
      <c r="D403" s="1" t="s">
        <v>508</v>
      </c>
      <c r="E403" s="1" t="s">
        <v>519</v>
      </c>
      <c r="F403" s="1" t="s">
        <v>520</v>
      </c>
      <c r="G403" s="19">
        <v>4</v>
      </c>
      <c r="H403" s="19">
        <v>48</v>
      </c>
      <c r="I403" s="19">
        <v>52</v>
      </c>
      <c r="J403" s="19">
        <v>46</v>
      </c>
      <c r="K403" s="1" t="s">
        <v>241</v>
      </c>
      <c r="L403" s="2" t="s">
        <v>433</v>
      </c>
      <c r="M403" s="19">
        <v>1983</v>
      </c>
      <c r="N403" s="1" t="s">
        <v>434</v>
      </c>
      <c r="O403" s="19">
        <v>2400</v>
      </c>
      <c r="P403" s="1" t="s">
        <v>5</v>
      </c>
      <c r="Q403" s="19">
        <v>2</v>
      </c>
      <c r="R403" s="19">
        <v>1</v>
      </c>
      <c r="S403" s="19">
        <v>18</v>
      </c>
      <c r="T403" s="14">
        <v>110000</v>
      </c>
      <c r="U403" s="14">
        <v>135000</v>
      </c>
      <c r="V403" s="14">
        <v>29000</v>
      </c>
      <c r="W403" s="4">
        <f t="shared" si="18"/>
        <v>0.22727272727272727</v>
      </c>
      <c r="Z403" s="11">
        <f t="shared" si="19"/>
        <v>0.21481481481481482</v>
      </c>
      <c r="AA403" s="19">
        <f t="shared" si="20"/>
        <v>106000</v>
      </c>
    </row>
    <row r="404" spans="2:27" x14ac:dyDescent="0.45">
      <c r="B404" s="7">
        <v>363</v>
      </c>
      <c r="C404" s="1" t="s">
        <v>86</v>
      </c>
      <c r="D404" s="1" t="s">
        <v>555</v>
      </c>
      <c r="E404" s="1" t="s">
        <v>563</v>
      </c>
      <c r="F404" s="1" t="s">
        <v>562</v>
      </c>
      <c r="G404" s="19">
        <v>4</v>
      </c>
      <c r="H404" s="19">
        <v>40</v>
      </c>
      <c r="I404" s="19">
        <v>13</v>
      </c>
      <c r="J404" s="19">
        <v>28</v>
      </c>
      <c r="K404" s="2" t="s">
        <v>323</v>
      </c>
      <c r="L404" s="2" t="s">
        <v>439</v>
      </c>
      <c r="M404" s="19">
        <v>2005</v>
      </c>
      <c r="N404" s="1" t="s">
        <v>440</v>
      </c>
      <c r="O404" s="19">
        <v>284</v>
      </c>
      <c r="P404" s="1" t="s">
        <v>18</v>
      </c>
      <c r="Q404" s="19">
        <v>3</v>
      </c>
      <c r="R404" s="19">
        <v>2</v>
      </c>
      <c r="S404" s="19">
        <v>33</v>
      </c>
      <c r="T404" s="14">
        <v>139000</v>
      </c>
      <c r="U404" s="14">
        <v>135000</v>
      </c>
      <c r="V404" s="14">
        <v>78000</v>
      </c>
      <c r="W404" s="4">
        <f t="shared" si="18"/>
        <v>-2.8776978417266189E-2</v>
      </c>
      <c r="Z404" s="11">
        <f t="shared" si="19"/>
        <v>0.57777777777777772</v>
      </c>
      <c r="AA404" s="19">
        <f t="shared" si="20"/>
        <v>57000</v>
      </c>
    </row>
    <row r="405" spans="2:27" x14ac:dyDescent="0.45">
      <c r="B405" s="7">
        <v>575</v>
      </c>
      <c r="C405" s="1" t="s">
        <v>15</v>
      </c>
      <c r="D405" s="1" t="s">
        <v>607</v>
      </c>
      <c r="E405" s="1" t="s">
        <v>610</v>
      </c>
      <c r="F405" s="1" t="s">
        <v>611</v>
      </c>
      <c r="G405" s="19">
        <v>8</v>
      </c>
      <c r="H405" s="19">
        <v>30</v>
      </c>
      <c r="I405" s="19">
        <v>35</v>
      </c>
      <c r="J405" s="19">
        <v>35</v>
      </c>
      <c r="K405" s="1" t="s">
        <v>428</v>
      </c>
      <c r="L405" s="2" t="s">
        <v>453</v>
      </c>
      <c r="M405" s="19">
        <v>2025</v>
      </c>
      <c r="N405" s="1" t="s">
        <v>447</v>
      </c>
      <c r="O405" s="19">
        <v>997</v>
      </c>
      <c r="P405" s="1" t="s">
        <v>18</v>
      </c>
      <c r="Q405" s="19">
        <v>3</v>
      </c>
      <c r="R405" s="19">
        <v>2</v>
      </c>
      <c r="S405" s="19">
        <v>25</v>
      </c>
      <c r="T405" s="14">
        <v>0</v>
      </c>
      <c r="U405" s="14">
        <v>135000</v>
      </c>
      <c r="V405" s="14">
        <v>63000</v>
      </c>
      <c r="W405" s="4" t="e">
        <f t="shared" si="18"/>
        <v>#DIV/0!</v>
      </c>
      <c r="Z405" s="11">
        <f t="shared" si="19"/>
        <v>0.46666666666666667</v>
      </c>
      <c r="AA405" s="19">
        <f t="shared" si="20"/>
        <v>72000</v>
      </c>
    </row>
    <row r="406" spans="2:27" x14ac:dyDescent="0.45">
      <c r="B406" s="7">
        <v>635</v>
      </c>
      <c r="C406" s="1" t="s">
        <v>72</v>
      </c>
      <c r="D406" s="1" t="s">
        <v>626</v>
      </c>
      <c r="E406" s="1" t="s">
        <v>636</v>
      </c>
      <c r="F406" s="1" t="s">
        <v>635</v>
      </c>
      <c r="G406" s="19">
        <v>4</v>
      </c>
      <c r="H406" s="19">
        <v>18</v>
      </c>
      <c r="I406" s="19">
        <v>34</v>
      </c>
      <c r="J406" s="19">
        <v>34</v>
      </c>
      <c r="K406" s="1" t="s">
        <v>362</v>
      </c>
      <c r="L406" s="2" t="s">
        <v>433</v>
      </c>
      <c r="M406" s="19">
        <v>1989</v>
      </c>
      <c r="N406" s="1" t="s">
        <v>440</v>
      </c>
      <c r="O406" s="19">
        <v>464</v>
      </c>
      <c r="P406" s="1" t="s">
        <v>5</v>
      </c>
      <c r="Q406" s="19">
        <v>2</v>
      </c>
      <c r="R406" s="19">
        <v>1</v>
      </c>
      <c r="S406" s="19">
        <v>21</v>
      </c>
      <c r="T406" s="14">
        <v>95500</v>
      </c>
      <c r="U406" s="14">
        <v>135000</v>
      </c>
      <c r="V406" s="14">
        <v>43000</v>
      </c>
      <c r="W406" s="4">
        <f t="shared" si="18"/>
        <v>0.41361256544502617</v>
      </c>
      <c r="Z406" s="11">
        <f t="shared" si="19"/>
        <v>0.31851851851851853</v>
      </c>
      <c r="AA406" s="19">
        <f t="shared" si="20"/>
        <v>92000</v>
      </c>
    </row>
    <row r="407" spans="2:27" x14ac:dyDescent="0.45">
      <c r="B407" s="7">
        <v>704</v>
      </c>
      <c r="C407" s="1" t="s">
        <v>35</v>
      </c>
      <c r="D407" s="1" t="s">
        <v>652</v>
      </c>
      <c r="E407" s="1" t="s">
        <v>676</v>
      </c>
      <c r="F407" s="1" t="s">
        <v>677</v>
      </c>
      <c r="G407" s="19">
        <v>3</v>
      </c>
      <c r="H407" s="19">
        <v>35</v>
      </c>
      <c r="I407" s="19">
        <v>15</v>
      </c>
      <c r="J407" s="19">
        <v>25</v>
      </c>
      <c r="K407" s="1" t="s">
        <v>70</v>
      </c>
      <c r="L407" s="2" t="s">
        <v>439</v>
      </c>
      <c r="M407" s="19">
        <v>2000</v>
      </c>
      <c r="N407" s="1" t="s">
        <v>434</v>
      </c>
      <c r="O407" s="19">
        <v>1252</v>
      </c>
      <c r="P407" s="5" t="s">
        <v>18</v>
      </c>
      <c r="Q407" s="18">
        <v>3</v>
      </c>
      <c r="R407" s="19">
        <v>2</v>
      </c>
      <c r="S407" s="18">
        <v>33</v>
      </c>
      <c r="T407" s="14">
        <v>126000</v>
      </c>
      <c r="U407" s="14">
        <v>135000</v>
      </c>
      <c r="V407" s="14">
        <v>65000</v>
      </c>
      <c r="W407" s="4">
        <f t="shared" si="18"/>
        <v>7.1428571428571425E-2</v>
      </c>
      <c r="Z407" s="11">
        <f t="shared" si="19"/>
        <v>0.48148148148148145</v>
      </c>
      <c r="AA407" s="19">
        <f t="shared" si="20"/>
        <v>70000</v>
      </c>
    </row>
    <row r="408" spans="2:27" x14ac:dyDescent="0.45">
      <c r="B408" s="7">
        <v>1128</v>
      </c>
      <c r="C408" s="1" t="s">
        <v>869</v>
      </c>
      <c r="D408" s="1" t="s">
        <v>866</v>
      </c>
      <c r="E408" s="1" t="s">
        <v>870</v>
      </c>
      <c r="F408" s="1" t="s">
        <v>868</v>
      </c>
      <c r="G408" s="19">
        <v>5</v>
      </c>
      <c r="H408" s="19">
        <v>40</v>
      </c>
      <c r="I408" s="19">
        <v>15</v>
      </c>
      <c r="J408" s="19">
        <v>22</v>
      </c>
      <c r="K408" s="1" t="s">
        <v>871</v>
      </c>
      <c r="L408" s="2" t="s">
        <v>433</v>
      </c>
      <c r="M408" s="19">
        <v>1998</v>
      </c>
      <c r="N408" s="1" t="s">
        <v>447</v>
      </c>
      <c r="O408" s="19">
        <v>951</v>
      </c>
      <c r="P408" s="1" t="s">
        <v>18</v>
      </c>
      <c r="Q408" s="19">
        <v>3</v>
      </c>
      <c r="R408" s="19">
        <v>1</v>
      </c>
      <c r="S408" s="19">
        <v>25</v>
      </c>
      <c r="T408" s="14">
        <v>115000</v>
      </c>
      <c r="U408" s="14">
        <v>135000</v>
      </c>
      <c r="V408" s="14">
        <v>56000</v>
      </c>
      <c r="W408" s="4">
        <f t="shared" si="18"/>
        <v>0.17391304347826086</v>
      </c>
      <c r="Z408" s="11">
        <f t="shared" si="19"/>
        <v>0.4148148148148148</v>
      </c>
      <c r="AA408" s="19">
        <f t="shared" si="20"/>
        <v>79000</v>
      </c>
    </row>
    <row r="409" spans="2:27" x14ac:dyDescent="0.45">
      <c r="B409" s="7">
        <v>1315</v>
      </c>
      <c r="C409" s="1" t="s">
        <v>2</v>
      </c>
      <c r="D409" s="1" t="s">
        <v>899</v>
      </c>
      <c r="E409" s="1" t="s">
        <v>914</v>
      </c>
      <c r="F409" s="1" t="s">
        <v>911</v>
      </c>
      <c r="G409" s="19">
        <v>6</v>
      </c>
      <c r="H409" s="19">
        <v>45</v>
      </c>
      <c r="I409" s="19">
        <v>28</v>
      </c>
      <c r="J409" s="19">
        <v>15</v>
      </c>
      <c r="K409" s="1" t="s">
        <v>124</v>
      </c>
      <c r="L409" s="2" t="s">
        <v>439</v>
      </c>
      <c r="M409" s="19">
        <v>2011</v>
      </c>
      <c r="N409" s="1" t="s">
        <v>447</v>
      </c>
      <c r="O409" s="19">
        <v>561</v>
      </c>
      <c r="P409" s="1" t="s">
        <v>18</v>
      </c>
      <c r="Q409" s="19">
        <v>3</v>
      </c>
      <c r="R409" s="19">
        <v>2</v>
      </c>
      <c r="S409" s="19">
        <v>25</v>
      </c>
      <c r="T409" s="14">
        <v>118000</v>
      </c>
      <c r="U409" s="14">
        <v>135000</v>
      </c>
      <c r="V409" s="14">
        <v>68000</v>
      </c>
      <c r="W409" s="4">
        <f t="shared" si="18"/>
        <v>0.1440677966101695</v>
      </c>
      <c r="Z409" s="11">
        <f t="shared" si="19"/>
        <v>0.50370370370370365</v>
      </c>
      <c r="AA409" s="19">
        <f t="shared" si="20"/>
        <v>67000</v>
      </c>
    </row>
    <row r="410" spans="2:27" x14ac:dyDescent="0.45">
      <c r="B410" s="7">
        <v>1337</v>
      </c>
      <c r="C410" s="1" t="s">
        <v>2</v>
      </c>
      <c r="D410" s="1" t="s">
        <v>899</v>
      </c>
      <c r="E410" s="1" t="s">
        <v>920</v>
      </c>
      <c r="F410" s="1" t="s">
        <v>918</v>
      </c>
      <c r="G410" s="19">
        <v>8</v>
      </c>
      <c r="H410" s="19">
        <v>52</v>
      </c>
      <c r="I410" s="19">
        <v>25</v>
      </c>
      <c r="J410" s="19">
        <v>32</v>
      </c>
      <c r="K410" s="1" t="s">
        <v>3</v>
      </c>
      <c r="L410" s="2" t="s">
        <v>453</v>
      </c>
      <c r="M410" s="19">
        <v>2018</v>
      </c>
      <c r="N410" s="1" t="s">
        <v>434</v>
      </c>
      <c r="O410" s="19">
        <v>1061</v>
      </c>
      <c r="P410" s="1" t="s">
        <v>18</v>
      </c>
      <c r="Q410" s="19">
        <v>3</v>
      </c>
      <c r="R410" s="19">
        <v>2</v>
      </c>
      <c r="S410" s="19">
        <v>33</v>
      </c>
      <c r="T410" s="14">
        <v>145000</v>
      </c>
      <c r="U410" s="14">
        <v>135000</v>
      </c>
      <c r="V410" s="14">
        <v>75000</v>
      </c>
      <c r="W410" s="4">
        <f t="shared" si="18"/>
        <v>-6.8965517241379309E-2</v>
      </c>
      <c r="Z410" s="11">
        <f t="shared" si="19"/>
        <v>0.55555555555555558</v>
      </c>
      <c r="AA410" s="19">
        <f t="shared" si="20"/>
        <v>60000</v>
      </c>
    </row>
    <row r="411" spans="2:27" x14ac:dyDescent="0.45">
      <c r="B411" s="7">
        <v>1635</v>
      </c>
      <c r="C411" s="1" t="s">
        <v>77</v>
      </c>
      <c r="D411" s="1" t="s">
        <v>998</v>
      </c>
      <c r="E411" s="1" t="s">
        <v>1014</v>
      </c>
      <c r="F411" s="1" t="s">
        <v>1015</v>
      </c>
      <c r="G411" s="19">
        <v>8</v>
      </c>
      <c r="H411" s="19">
        <v>42</v>
      </c>
      <c r="I411" s="19">
        <v>35</v>
      </c>
      <c r="J411" s="19">
        <v>20</v>
      </c>
      <c r="K411" s="6" t="s">
        <v>223</v>
      </c>
      <c r="L411" s="2" t="s">
        <v>453</v>
      </c>
      <c r="M411" s="19">
        <v>2017</v>
      </c>
      <c r="N411" s="1" t="s">
        <v>434</v>
      </c>
      <c r="O411" s="19">
        <v>1186</v>
      </c>
      <c r="P411" s="1" t="s">
        <v>18</v>
      </c>
      <c r="Q411" s="19">
        <v>3</v>
      </c>
      <c r="R411" s="19">
        <v>2</v>
      </c>
      <c r="S411" s="19">
        <v>33</v>
      </c>
      <c r="T411" s="14">
        <v>140000</v>
      </c>
      <c r="U411" s="14">
        <v>135000</v>
      </c>
      <c r="V411" s="14">
        <v>75000</v>
      </c>
      <c r="W411" s="4">
        <f t="shared" si="18"/>
        <v>-3.5714285714285712E-2</v>
      </c>
      <c r="Z411" s="11">
        <f t="shared" si="19"/>
        <v>0.55555555555555558</v>
      </c>
      <c r="AA411" s="19">
        <f t="shared" si="20"/>
        <v>60000</v>
      </c>
    </row>
    <row r="412" spans="2:27" x14ac:dyDescent="0.45">
      <c r="B412" s="7">
        <v>1911</v>
      </c>
      <c r="C412" s="1" t="s">
        <v>73</v>
      </c>
      <c r="D412" s="1" t="s">
        <v>1077</v>
      </c>
      <c r="E412" s="1" t="s">
        <v>1086</v>
      </c>
      <c r="F412" s="1" t="s">
        <v>1080</v>
      </c>
      <c r="G412" s="19">
        <v>10</v>
      </c>
      <c r="H412" s="19">
        <v>45</v>
      </c>
      <c r="I412" s="19">
        <v>25</v>
      </c>
      <c r="J412" s="19">
        <v>35</v>
      </c>
      <c r="K412" s="1" t="s">
        <v>1087</v>
      </c>
      <c r="L412" s="2" t="s">
        <v>433</v>
      </c>
      <c r="M412" s="19">
        <v>1999</v>
      </c>
      <c r="N412" s="1" t="s">
        <v>440</v>
      </c>
      <c r="O412" s="19">
        <v>361</v>
      </c>
      <c r="P412" s="1" t="s">
        <v>18</v>
      </c>
      <c r="Q412" s="19">
        <v>3</v>
      </c>
      <c r="R412" s="19">
        <v>2</v>
      </c>
      <c r="S412" s="19">
        <v>33</v>
      </c>
      <c r="T412" s="14">
        <v>98900</v>
      </c>
      <c r="U412" s="14">
        <v>135000</v>
      </c>
      <c r="V412" s="14">
        <v>60000</v>
      </c>
      <c r="W412" s="4">
        <f t="shared" si="18"/>
        <v>0.36501516683518703</v>
      </c>
      <c r="Z412" s="11">
        <f t="shared" si="19"/>
        <v>0.44444444444444442</v>
      </c>
      <c r="AA412" s="19">
        <f t="shared" si="20"/>
        <v>75000</v>
      </c>
    </row>
    <row r="413" spans="2:27" x14ac:dyDescent="0.45">
      <c r="B413" s="7">
        <v>2305</v>
      </c>
      <c r="C413" s="5" t="s">
        <v>182</v>
      </c>
      <c r="D413" s="5" t="s">
        <v>1204</v>
      </c>
      <c r="E413" s="1" t="s">
        <v>1205</v>
      </c>
      <c r="F413" s="1" t="s">
        <v>1206</v>
      </c>
      <c r="G413" s="19">
        <v>5</v>
      </c>
      <c r="H413" s="19">
        <v>50</v>
      </c>
      <c r="I413" s="19">
        <v>55</v>
      </c>
      <c r="J413" s="19">
        <v>40</v>
      </c>
      <c r="K413" s="5" t="s">
        <v>389</v>
      </c>
      <c r="L413" s="2" t="s">
        <v>453</v>
      </c>
      <c r="M413" s="18">
        <v>2025</v>
      </c>
      <c r="N413" s="1" t="s">
        <v>434</v>
      </c>
      <c r="O413" s="18">
        <v>1055</v>
      </c>
      <c r="P413" s="5" t="s">
        <v>18</v>
      </c>
      <c r="Q413" s="18">
        <v>3</v>
      </c>
      <c r="R413" s="18">
        <v>2</v>
      </c>
      <c r="S413" s="18">
        <v>29</v>
      </c>
      <c r="T413" s="14">
        <v>0</v>
      </c>
      <c r="U413" s="14">
        <v>135000</v>
      </c>
      <c r="V413" s="14">
        <v>70000</v>
      </c>
      <c r="W413" s="4" t="e">
        <f t="shared" si="18"/>
        <v>#DIV/0!</v>
      </c>
      <c r="Z413" s="11">
        <f t="shared" si="19"/>
        <v>0.51851851851851849</v>
      </c>
      <c r="AA413" s="19">
        <f t="shared" si="20"/>
        <v>65000</v>
      </c>
    </row>
    <row r="414" spans="2:27" x14ac:dyDescent="0.45">
      <c r="B414" s="7">
        <v>390</v>
      </c>
      <c r="C414" s="1" t="s">
        <v>86</v>
      </c>
      <c r="D414" s="1" t="s">
        <v>555</v>
      </c>
      <c r="E414" s="1" t="s">
        <v>568</v>
      </c>
      <c r="F414" s="1" t="s">
        <v>560</v>
      </c>
      <c r="G414" s="19">
        <v>3</v>
      </c>
      <c r="H414" s="19">
        <v>40</v>
      </c>
      <c r="I414" s="19">
        <v>13</v>
      </c>
      <c r="J414" s="19">
        <v>28</v>
      </c>
      <c r="K414" s="2" t="s">
        <v>320</v>
      </c>
      <c r="L414" s="2" t="s">
        <v>453</v>
      </c>
      <c r="M414" s="19">
        <v>2019</v>
      </c>
      <c r="N414" s="1" t="s">
        <v>440</v>
      </c>
      <c r="O414" s="19">
        <v>499</v>
      </c>
      <c r="P414" s="1" t="s">
        <v>18</v>
      </c>
      <c r="Q414" s="19">
        <v>3</v>
      </c>
      <c r="R414" s="19">
        <v>2</v>
      </c>
      <c r="S414" s="19">
        <v>23</v>
      </c>
      <c r="T414" s="14">
        <v>115000</v>
      </c>
      <c r="U414" s="14">
        <v>136000</v>
      </c>
      <c r="V414" s="14">
        <v>80000</v>
      </c>
      <c r="W414" s="4">
        <f t="shared" si="18"/>
        <v>0.18260869565217391</v>
      </c>
      <c r="Z414" s="11">
        <f t="shared" si="19"/>
        <v>0.58823529411764708</v>
      </c>
      <c r="AA414" s="19">
        <f t="shared" si="20"/>
        <v>56000</v>
      </c>
    </row>
    <row r="415" spans="2:27" x14ac:dyDescent="0.45">
      <c r="B415" s="7">
        <v>560</v>
      </c>
      <c r="C415" s="1" t="s">
        <v>26</v>
      </c>
      <c r="D415" s="1" t="s">
        <v>555</v>
      </c>
      <c r="E415" s="1" t="s">
        <v>605</v>
      </c>
      <c r="F415" s="1" t="s">
        <v>602</v>
      </c>
      <c r="G415" s="19">
        <v>6</v>
      </c>
      <c r="H415" s="19">
        <v>42</v>
      </c>
      <c r="I415" s="19">
        <v>15</v>
      </c>
      <c r="J415" s="19">
        <v>28</v>
      </c>
      <c r="K415" s="2" t="s">
        <v>606</v>
      </c>
      <c r="L415" s="2" t="s">
        <v>433</v>
      </c>
      <c r="M415" s="19">
        <v>1999</v>
      </c>
      <c r="N415" s="1" t="s">
        <v>447</v>
      </c>
      <c r="O415" s="19">
        <v>642</v>
      </c>
      <c r="P415" s="1" t="s">
        <v>18</v>
      </c>
      <c r="Q415" s="19">
        <v>3</v>
      </c>
      <c r="R415" s="19">
        <v>2</v>
      </c>
      <c r="S415" s="19">
        <v>32</v>
      </c>
      <c r="T415" s="14">
        <v>120000</v>
      </c>
      <c r="U415" s="14">
        <v>136000</v>
      </c>
      <c r="V415" s="14">
        <v>57000</v>
      </c>
      <c r="W415" s="4">
        <f t="shared" si="18"/>
        <v>0.13333333333333333</v>
      </c>
      <c r="Z415" s="11">
        <f t="shared" si="19"/>
        <v>0.41911764705882354</v>
      </c>
      <c r="AA415" s="19">
        <f t="shared" si="20"/>
        <v>79000</v>
      </c>
    </row>
    <row r="416" spans="2:27" x14ac:dyDescent="0.45">
      <c r="B416" s="7">
        <v>611</v>
      </c>
      <c r="C416" s="1" t="s">
        <v>15</v>
      </c>
      <c r="D416" s="1" t="s">
        <v>607</v>
      </c>
      <c r="E416" s="1" t="s">
        <v>623</v>
      </c>
      <c r="F416" s="1" t="s">
        <v>624</v>
      </c>
      <c r="G416" s="19">
        <v>5</v>
      </c>
      <c r="H416" s="19">
        <v>25</v>
      </c>
      <c r="I416" s="19">
        <v>35</v>
      </c>
      <c r="J416" s="19">
        <v>31</v>
      </c>
      <c r="K416" s="1" t="s">
        <v>16</v>
      </c>
      <c r="L416" s="2" t="s">
        <v>453</v>
      </c>
      <c r="M416" s="19">
        <v>2019</v>
      </c>
      <c r="N416" s="1" t="s">
        <v>434</v>
      </c>
      <c r="O416" s="19">
        <v>1531</v>
      </c>
      <c r="P416" s="1" t="s">
        <v>18</v>
      </c>
      <c r="Q416" s="19">
        <v>3</v>
      </c>
      <c r="R416" s="19">
        <v>2</v>
      </c>
      <c r="S416" s="19">
        <v>25</v>
      </c>
      <c r="T416" s="14">
        <v>120000</v>
      </c>
      <c r="U416" s="14">
        <v>137000</v>
      </c>
      <c r="V416" s="14">
        <v>68000</v>
      </c>
      <c r="W416" s="4">
        <f t="shared" si="18"/>
        <v>0.14166666666666666</v>
      </c>
      <c r="Z416" s="11">
        <f t="shared" si="19"/>
        <v>0.49635036496350365</v>
      </c>
      <c r="AA416" s="19">
        <f t="shared" si="20"/>
        <v>69000</v>
      </c>
    </row>
    <row r="417" spans="2:27" x14ac:dyDescent="0.45">
      <c r="B417" s="7">
        <v>1318</v>
      </c>
      <c r="C417" s="1" t="s">
        <v>2</v>
      </c>
      <c r="D417" s="1" t="s">
        <v>899</v>
      </c>
      <c r="E417" s="1" t="s">
        <v>923</v>
      </c>
      <c r="F417" s="1" t="s">
        <v>919</v>
      </c>
      <c r="G417" s="19">
        <v>6</v>
      </c>
      <c r="H417" s="19">
        <v>40</v>
      </c>
      <c r="I417" s="19">
        <v>28</v>
      </c>
      <c r="J417" s="19">
        <v>10</v>
      </c>
      <c r="K417" s="1" t="s">
        <v>119</v>
      </c>
      <c r="L417" s="2" t="s">
        <v>433</v>
      </c>
      <c r="M417" s="19">
        <v>1998</v>
      </c>
      <c r="N417" s="1" t="s">
        <v>434</v>
      </c>
      <c r="O417" s="19">
        <v>1300</v>
      </c>
      <c r="P417" s="1" t="s">
        <v>18</v>
      </c>
      <c r="Q417" s="19">
        <v>3</v>
      </c>
      <c r="R417" s="19">
        <v>2</v>
      </c>
      <c r="S417" s="19">
        <v>33</v>
      </c>
      <c r="T417" s="14">
        <v>130000</v>
      </c>
      <c r="U417" s="14">
        <v>137000</v>
      </c>
      <c r="V417" s="14">
        <v>67000</v>
      </c>
      <c r="W417" s="4">
        <f t="shared" si="18"/>
        <v>5.3846153846153849E-2</v>
      </c>
      <c r="Z417" s="11">
        <f t="shared" si="19"/>
        <v>0.48905109489051096</v>
      </c>
      <c r="AA417" s="19">
        <f t="shared" si="20"/>
        <v>70000</v>
      </c>
    </row>
    <row r="418" spans="2:27" x14ac:dyDescent="0.45">
      <c r="B418" s="7">
        <v>1500</v>
      </c>
      <c r="C418" s="1" t="s">
        <v>76</v>
      </c>
      <c r="D418" s="1" t="s">
        <v>964</v>
      </c>
      <c r="E418" s="1" t="s">
        <v>976</v>
      </c>
      <c r="F418" s="1" t="s">
        <v>975</v>
      </c>
      <c r="G418" s="19">
        <v>10</v>
      </c>
      <c r="H418" s="19">
        <v>35</v>
      </c>
      <c r="I418" s="19">
        <v>30</v>
      </c>
      <c r="J418" s="19">
        <v>20</v>
      </c>
      <c r="K418" s="1" t="s">
        <v>335</v>
      </c>
      <c r="L418" s="2" t="s">
        <v>453</v>
      </c>
      <c r="M418" s="19">
        <v>2017</v>
      </c>
      <c r="N418" s="1" t="s">
        <v>447</v>
      </c>
      <c r="O418" s="19">
        <v>713</v>
      </c>
      <c r="P418" s="1" t="s">
        <v>18</v>
      </c>
      <c r="Q418" s="19">
        <v>2</v>
      </c>
      <c r="R418" s="19">
        <v>1</v>
      </c>
      <c r="S418" s="19">
        <v>22</v>
      </c>
      <c r="T418" s="14">
        <v>104000</v>
      </c>
      <c r="U418" s="14">
        <v>137500</v>
      </c>
      <c r="V418" s="14">
        <v>62000</v>
      </c>
      <c r="W418" s="4">
        <f t="shared" si="18"/>
        <v>0.32211538461538464</v>
      </c>
      <c r="Z418" s="11">
        <f t="shared" si="19"/>
        <v>0.45090909090909093</v>
      </c>
      <c r="AA418" s="19">
        <f t="shared" si="20"/>
        <v>75500</v>
      </c>
    </row>
    <row r="419" spans="2:27" x14ac:dyDescent="0.45">
      <c r="B419" s="7">
        <v>573</v>
      </c>
      <c r="C419" s="1" t="s">
        <v>15</v>
      </c>
      <c r="D419" s="1" t="s">
        <v>607</v>
      </c>
      <c r="E419" s="1" t="s">
        <v>608</v>
      </c>
      <c r="F419" s="1" t="s">
        <v>609</v>
      </c>
      <c r="G419" s="19">
        <v>3</v>
      </c>
      <c r="H419" s="19">
        <v>22</v>
      </c>
      <c r="I419" s="19">
        <v>25</v>
      </c>
      <c r="J419" s="19">
        <v>35</v>
      </c>
      <c r="K419" s="1" t="s">
        <v>429</v>
      </c>
      <c r="L419" s="2" t="s">
        <v>453</v>
      </c>
      <c r="M419" s="19">
        <v>2022</v>
      </c>
      <c r="N419" s="1" t="s">
        <v>434</v>
      </c>
      <c r="O419" s="19">
        <v>1143</v>
      </c>
      <c r="P419" s="1" t="s">
        <v>18</v>
      </c>
      <c r="Q419" s="19">
        <v>3</v>
      </c>
      <c r="R419" s="19">
        <v>2</v>
      </c>
      <c r="S419" s="19">
        <v>25</v>
      </c>
      <c r="T419" s="14">
        <v>0</v>
      </c>
      <c r="U419" s="14">
        <v>138000</v>
      </c>
      <c r="V419" s="14">
        <v>66000</v>
      </c>
      <c r="W419" s="4" t="e">
        <f t="shared" si="18"/>
        <v>#DIV/0!</v>
      </c>
      <c r="Z419" s="11">
        <f t="shared" si="19"/>
        <v>0.47826086956521741</v>
      </c>
      <c r="AA419" s="19">
        <f t="shared" si="20"/>
        <v>72000</v>
      </c>
    </row>
    <row r="420" spans="2:27" x14ac:dyDescent="0.45">
      <c r="B420" s="7">
        <v>1115</v>
      </c>
      <c r="C420" s="1" t="s">
        <v>89</v>
      </c>
      <c r="D420" s="1" t="s">
        <v>816</v>
      </c>
      <c r="E420" s="1" t="s">
        <v>863</v>
      </c>
      <c r="F420" s="1" t="s">
        <v>856</v>
      </c>
      <c r="G420" s="19">
        <v>3</v>
      </c>
      <c r="H420" s="19">
        <v>30</v>
      </c>
      <c r="I420" s="19">
        <v>10</v>
      </c>
      <c r="J420" s="19">
        <v>26</v>
      </c>
      <c r="K420" s="2" t="s">
        <v>91</v>
      </c>
      <c r="L420" s="2" t="s">
        <v>433</v>
      </c>
      <c r="M420" s="19">
        <v>1997</v>
      </c>
      <c r="N420" s="1" t="s">
        <v>447</v>
      </c>
      <c r="O420" s="19">
        <v>901</v>
      </c>
      <c r="P420" s="1" t="s">
        <v>18</v>
      </c>
      <c r="Q420" s="19">
        <v>3</v>
      </c>
      <c r="R420" s="19">
        <v>2</v>
      </c>
      <c r="S420" s="19">
        <v>33</v>
      </c>
      <c r="T420" s="14">
        <v>125000</v>
      </c>
      <c r="U420" s="14">
        <v>138000</v>
      </c>
      <c r="V420" s="14">
        <v>64000</v>
      </c>
      <c r="W420" s="4">
        <f t="shared" si="18"/>
        <v>0.104</v>
      </c>
      <c r="Z420" s="11">
        <f t="shared" si="19"/>
        <v>0.46376811594202899</v>
      </c>
      <c r="AA420" s="19">
        <f t="shared" si="20"/>
        <v>74000</v>
      </c>
    </row>
    <row r="421" spans="2:27" x14ac:dyDescent="0.45">
      <c r="B421" s="7">
        <v>236</v>
      </c>
      <c r="C421" s="1" t="s">
        <v>510</v>
      </c>
      <c r="D421" s="1" t="s">
        <v>508</v>
      </c>
      <c r="E421" s="1" t="s">
        <v>521</v>
      </c>
      <c r="F421" s="1" t="s">
        <v>522</v>
      </c>
      <c r="G421" s="19">
        <v>5</v>
      </c>
      <c r="H421" s="19">
        <v>50</v>
      </c>
      <c r="I421" s="19">
        <v>54</v>
      </c>
      <c r="J421" s="19">
        <v>48</v>
      </c>
      <c r="K421" s="1" t="s">
        <v>219</v>
      </c>
      <c r="L421" s="2" t="s">
        <v>433</v>
      </c>
      <c r="M421" s="19">
        <v>1995</v>
      </c>
      <c r="N421" s="1" t="s">
        <v>440</v>
      </c>
      <c r="O421" s="19">
        <v>448</v>
      </c>
      <c r="P421" s="1" t="s">
        <v>5</v>
      </c>
      <c r="Q421" s="19">
        <v>3</v>
      </c>
      <c r="R421" s="19">
        <v>1</v>
      </c>
      <c r="S421" s="19">
        <v>25</v>
      </c>
      <c r="T421" s="14">
        <v>120000</v>
      </c>
      <c r="U421" s="14">
        <v>139500</v>
      </c>
      <c r="V421" s="14">
        <v>58000</v>
      </c>
      <c r="W421" s="4">
        <f t="shared" si="18"/>
        <v>0.16250000000000001</v>
      </c>
      <c r="Z421" s="11">
        <f t="shared" si="19"/>
        <v>0.4157706093189964</v>
      </c>
      <c r="AA421" s="19">
        <f t="shared" si="20"/>
        <v>81500</v>
      </c>
    </row>
    <row r="422" spans="2:27" x14ac:dyDescent="0.45">
      <c r="B422" s="7">
        <v>391</v>
      </c>
      <c r="C422" s="1" t="s">
        <v>86</v>
      </c>
      <c r="D422" s="1" t="s">
        <v>555</v>
      </c>
      <c r="E422" s="1" t="s">
        <v>568</v>
      </c>
      <c r="F422" s="1" t="s">
        <v>560</v>
      </c>
      <c r="G422" s="19">
        <v>3</v>
      </c>
      <c r="H422" s="19">
        <v>40</v>
      </c>
      <c r="I422" s="19">
        <v>13</v>
      </c>
      <c r="J422" s="19">
        <v>28</v>
      </c>
      <c r="K422" s="2" t="s">
        <v>320</v>
      </c>
      <c r="L422" s="2" t="s">
        <v>453</v>
      </c>
      <c r="M422" s="19">
        <v>2019</v>
      </c>
      <c r="N422" s="1" t="s">
        <v>440</v>
      </c>
      <c r="O422" s="19">
        <v>499</v>
      </c>
      <c r="P422" s="1" t="s">
        <v>18</v>
      </c>
      <c r="Q422" s="19">
        <v>3</v>
      </c>
      <c r="R422" s="19">
        <v>2</v>
      </c>
      <c r="S422" s="19">
        <v>24</v>
      </c>
      <c r="T422" s="14">
        <v>133500</v>
      </c>
      <c r="U422" s="14">
        <v>140000</v>
      </c>
      <c r="V422" s="14">
        <v>73000</v>
      </c>
      <c r="W422" s="4">
        <f t="shared" si="18"/>
        <v>4.8689138576779027E-2</v>
      </c>
      <c r="Z422" s="11">
        <f t="shared" si="19"/>
        <v>0.52142857142857146</v>
      </c>
      <c r="AA422" s="19">
        <f t="shared" si="20"/>
        <v>67000</v>
      </c>
    </row>
    <row r="423" spans="2:27" x14ac:dyDescent="0.45">
      <c r="B423" s="7">
        <v>949</v>
      </c>
      <c r="C423" s="1" t="s">
        <v>14</v>
      </c>
      <c r="D423" s="1" t="s">
        <v>816</v>
      </c>
      <c r="E423" s="1" t="s">
        <v>817</v>
      </c>
      <c r="F423" s="1" t="s">
        <v>818</v>
      </c>
      <c r="G423" s="19">
        <v>5</v>
      </c>
      <c r="H423" s="19">
        <v>20</v>
      </c>
      <c r="I423" s="19">
        <v>25</v>
      </c>
      <c r="J423" s="19">
        <v>30</v>
      </c>
      <c r="K423" s="2" t="s">
        <v>431</v>
      </c>
      <c r="L423" s="2" t="s">
        <v>439</v>
      </c>
      <c r="M423" s="19">
        <v>2013</v>
      </c>
      <c r="N423" s="1" t="s">
        <v>447</v>
      </c>
      <c r="O423" s="19">
        <v>882</v>
      </c>
      <c r="P423" s="1" t="s">
        <v>18</v>
      </c>
      <c r="Q423" s="19">
        <v>3</v>
      </c>
      <c r="R423" s="19">
        <v>2</v>
      </c>
      <c r="S423" s="19">
        <v>24</v>
      </c>
      <c r="T423" s="14">
        <v>130000</v>
      </c>
      <c r="U423" s="14">
        <v>140000</v>
      </c>
      <c r="V423" s="14">
        <v>72000</v>
      </c>
      <c r="W423" s="4">
        <f t="shared" si="18"/>
        <v>7.6923076923076927E-2</v>
      </c>
      <c r="Z423" s="11">
        <f t="shared" si="19"/>
        <v>0.51428571428571423</v>
      </c>
      <c r="AA423" s="19">
        <f t="shared" si="20"/>
        <v>68000</v>
      </c>
    </row>
    <row r="424" spans="2:27" x14ac:dyDescent="0.45">
      <c r="B424" s="7">
        <v>992</v>
      </c>
      <c r="C424" s="1" t="s">
        <v>89</v>
      </c>
      <c r="D424" s="1" t="s">
        <v>816</v>
      </c>
      <c r="E424" s="1" t="s">
        <v>834</v>
      </c>
      <c r="F424" s="1" t="s">
        <v>835</v>
      </c>
      <c r="G424" s="19">
        <v>4</v>
      </c>
      <c r="H424" s="19">
        <v>35</v>
      </c>
      <c r="I424" s="19">
        <v>23</v>
      </c>
      <c r="J424" s="19">
        <v>35</v>
      </c>
      <c r="K424" s="2" t="s">
        <v>836</v>
      </c>
      <c r="L424" s="2" t="s">
        <v>433</v>
      </c>
      <c r="M424" s="19">
        <v>1988</v>
      </c>
      <c r="N424" s="1" t="s">
        <v>434</v>
      </c>
      <c r="O424" s="19">
        <v>1335</v>
      </c>
      <c r="P424" s="1" t="s">
        <v>18</v>
      </c>
      <c r="Q424" s="19">
        <v>3</v>
      </c>
      <c r="R424" s="19">
        <v>1</v>
      </c>
      <c r="S424" s="19">
        <v>30</v>
      </c>
      <c r="T424" s="14">
        <v>137000</v>
      </c>
      <c r="U424" s="14">
        <v>140000</v>
      </c>
      <c r="V424" s="14">
        <v>60000</v>
      </c>
      <c r="W424" s="4">
        <f t="shared" si="18"/>
        <v>2.1897810218978103E-2</v>
      </c>
      <c r="Z424" s="11">
        <f t="shared" si="19"/>
        <v>0.42857142857142855</v>
      </c>
      <c r="AA424" s="19">
        <f t="shared" si="20"/>
        <v>80000</v>
      </c>
    </row>
    <row r="425" spans="2:27" x14ac:dyDescent="0.45">
      <c r="B425" s="7">
        <v>1039</v>
      </c>
      <c r="C425" s="1" t="s">
        <v>89</v>
      </c>
      <c r="D425" s="1" t="s">
        <v>816</v>
      </c>
      <c r="E425" s="1" t="s">
        <v>848</v>
      </c>
      <c r="F425" s="1" t="s">
        <v>849</v>
      </c>
      <c r="G425" s="19">
        <v>5</v>
      </c>
      <c r="H425" s="19">
        <v>24</v>
      </c>
      <c r="I425" s="19">
        <v>30</v>
      </c>
      <c r="J425" s="19">
        <v>38</v>
      </c>
      <c r="K425" s="2" t="s">
        <v>236</v>
      </c>
      <c r="L425" s="2" t="s">
        <v>433</v>
      </c>
      <c r="M425" s="19">
        <v>1999</v>
      </c>
      <c r="N425" s="1" t="s">
        <v>447</v>
      </c>
      <c r="O425" s="19">
        <v>719</v>
      </c>
      <c r="P425" s="1" t="s">
        <v>18</v>
      </c>
      <c r="Q425" s="19">
        <v>3</v>
      </c>
      <c r="R425" s="19">
        <v>2</v>
      </c>
      <c r="S425" s="19">
        <v>32</v>
      </c>
      <c r="T425" s="14">
        <v>109800</v>
      </c>
      <c r="U425" s="14">
        <v>140000</v>
      </c>
      <c r="V425" s="14">
        <v>57000</v>
      </c>
      <c r="W425" s="4">
        <f t="shared" si="18"/>
        <v>0.27504553734061932</v>
      </c>
      <c r="Z425" s="11">
        <f t="shared" si="19"/>
        <v>0.40714285714285714</v>
      </c>
      <c r="AA425" s="19">
        <f t="shared" si="20"/>
        <v>83000</v>
      </c>
    </row>
    <row r="426" spans="2:27" x14ac:dyDescent="0.45">
      <c r="B426" s="7">
        <v>1304</v>
      </c>
      <c r="C426" s="1" t="s">
        <v>2</v>
      </c>
      <c r="D426" s="1" t="s">
        <v>899</v>
      </c>
      <c r="E426" s="1" t="s">
        <v>917</v>
      </c>
      <c r="F426" s="1" t="s">
        <v>900</v>
      </c>
      <c r="G426" s="19">
        <v>10</v>
      </c>
      <c r="H426" s="19">
        <v>45</v>
      </c>
      <c r="I426" s="19">
        <v>28</v>
      </c>
      <c r="J426" s="19">
        <v>15</v>
      </c>
      <c r="K426" s="1" t="s">
        <v>225</v>
      </c>
      <c r="L426" s="2" t="s">
        <v>433</v>
      </c>
      <c r="M426" s="19">
        <v>1999</v>
      </c>
      <c r="N426" s="1" t="s">
        <v>447</v>
      </c>
      <c r="O426" s="19">
        <v>956</v>
      </c>
      <c r="P426" s="1" t="s">
        <v>5</v>
      </c>
      <c r="Q426" s="19">
        <v>3</v>
      </c>
      <c r="R426" s="19">
        <v>1</v>
      </c>
      <c r="S426" s="19">
        <v>25</v>
      </c>
      <c r="T426" s="14">
        <v>100700</v>
      </c>
      <c r="U426" s="14">
        <v>140000</v>
      </c>
      <c r="V426" s="14">
        <v>55000</v>
      </c>
      <c r="W426" s="4">
        <f t="shared" si="18"/>
        <v>0.39026812313803377</v>
      </c>
      <c r="Z426" s="11">
        <f t="shared" si="19"/>
        <v>0.39285714285714285</v>
      </c>
      <c r="AA426" s="19">
        <f t="shared" si="20"/>
        <v>85000</v>
      </c>
    </row>
    <row r="427" spans="2:27" x14ac:dyDescent="0.45">
      <c r="B427" s="7">
        <v>1661</v>
      </c>
      <c r="C427" s="1" t="s">
        <v>137</v>
      </c>
      <c r="D427" s="1" t="s">
        <v>998</v>
      </c>
      <c r="E427" s="1" t="s">
        <v>1022</v>
      </c>
      <c r="F427" s="1" t="s">
        <v>1017</v>
      </c>
      <c r="G427" s="19">
        <v>3</v>
      </c>
      <c r="H427" s="19">
        <v>45</v>
      </c>
      <c r="I427" s="19">
        <v>42</v>
      </c>
      <c r="J427" s="19">
        <v>30</v>
      </c>
      <c r="K427" s="6" t="s">
        <v>138</v>
      </c>
      <c r="L427" s="2" t="s">
        <v>453</v>
      </c>
      <c r="M427" s="19">
        <v>2019</v>
      </c>
      <c r="N427" s="1" t="s">
        <v>434</v>
      </c>
      <c r="O427" s="19">
        <v>2352</v>
      </c>
      <c r="P427" s="1" t="s">
        <v>18</v>
      </c>
      <c r="Q427" s="19">
        <v>3</v>
      </c>
      <c r="R427" s="19">
        <v>2</v>
      </c>
      <c r="S427" s="19">
        <v>25</v>
      </c>
      <c r="T427" s="14">
        <v>125000</v>
      </c>
      <c r="U427" s="14">
        <v>140000</v>
      </c>
      <c r="V427" s="14">
        <v>50000</v>
      </c>
      <c r="W427" s="4">
        <f t="shared" si="18"/>
        <v>0.12</v>
      </c>
      <c r="Z427" s="11">
        <f t="shared" si="19"/>
        <v>0.35714285714285715</v>
      </c>
      <c r="AA427" s="19">
        <f t="shared" si="20"/>
        <v>90000</v>
      </c>
    </row>
    <row r="428" spans="2:27" x14ac:dyDescent="0.45">
      <c r="B428" s="7">
        <v>1704</v>
      </c>
      <c r="C428" s="1" t="s">
        <v>77</v>
      </c>
      <c r="D428" s="1" t="s">
        <v>998</v>
      </c>
      <c r="E428" s="1" t="s">
        <v>1030</v>
      </c>
      <c r="F428" s="1" t="s">
        <v>1028</v>
      </c>
      <c r="G428" s="19">
        <v>5</v>
      </c>
      <c r="H428" s="19">
        <v>50</v>
      </c>
      <c r="I428" s="19">
        <v>45</v>
      </c>
      <c r="J428" s="19">
        <v>35</v>
      </c>
      <c r="K428" s="6" t="s">
        <v>79</v>
      </c>
      <c r="L428" s="2" t="s">
        <v>439</v>
      </c>
      <c r="M428" s="19">
        <v>2010</v>
      </c>
      <c r="N428" s="1" t="s">
        <v>434</v>
      </c>
      <c r="O428" s="19">
        <v>1012</v>
      </c>
      <c r="P428" s="1" t="s">
        <v>18</v>
      </c>
      <c r="Q428" s="19">
        <v>3</v>
      </c>
      <c r="R428" s="19">
        <v>2</v>
      </c>
      <c r="S428" s="19">
        <v>33</v>
      </c>
      <c r="T428" s="14">
        <v>129500</v>
      </c>
      <c r="U428" s="14">
        <v>140000</v>
      </c>
      <c r="V428" s="14">
        <v>70000</v>
      </c>
      <c r="W428" s="4">
        <f t="shared" si="18"/>
        <v>8.1081081081081086E-2</v>
      </c>
      <c r="Z428" s="11">
        <f t="shared" si="19"/>
        <v>0.5</v>
      </c>
      <c r="AA428" s="19">
        <f t="shared" si="20"/>
        <v>70000</v>
      </c>
    </row>
    <row r="429" spans="2:27" x14ac:dyDescent="0.45">
      <c r="B429" s="7">
        <v>1954</v>
      </c>
      <c r="C429" s="1" t="s">
        <v>143</v>
      </c>
      <c r="D429" s="1" t="s">
        <v>1077</v>
      </c>
      <c r="E429" s="1" t="s">
        <v>1103</v>
      </c>
      <c r="F429" s="1" t="s">
        <v>1104</v>
      </c>
      <c r="G429" s="19">
        <v>6</v>
      </c>
      <c r="H429" s="19">
        <v>45</v>
      </c>
      <c r="I429" s="19">
        <v>25</v>
      </c>
      <c r="J429" s="19">
        <v>32</v>
      </c>
      <c r="K429" s="1" t="s">
        <v>187</v>
      </c>
      <c r="L429" s="2" t="s">
        <v>439</v>
      </c>
      <c r="M429" s="19">
        <v>2005</v>
      </c>
      <c r="N429" s="1" t="s">
        <v>434</v>
      </c>
      <c r="O429" s="19">
        <v>1067</v>
      </c>
      <c r="P429" s="1" t="s">
        <v>18</v>
      </c>
      <c r="Q429" s="19">
        <v>3</v>
      </c>
      <c r="R429" s="19">
        <v>2</v>
      </c>
      <c r="S429" s="19">
        <v>33</v>
      </c>
      <c r="T429" s="14">
        <v>134000</v>
      </c>
      <c r="U429" s="14">
        <v>140000</v>
      </c>
      <c r="V429" s="14">
        <v>75000</v>
      </c>
      <c r="W429" s="4">
        <f t="shared" si="18"/>
        <v>4.4776119402985072E-2</v>
      </c>
      <c r="Z429" s="11">
        <f t="shared" si="19"/>
        <v>0.5357142857142857</v>
      </c>
      <c r="AA429" s="19">
        <f t="shared" si="20"/>
        <v>65000</v>
      </c>
    </row>
    <row r="430" spans="2:27" x14ac:dyDescent="0.45">
      <c r="B430" s="7">
        <v>1984</v>
      </c>
      <c r="C430" s="1" t="s">
        <v>11</v>
      </c>
      <c r="D430" s="1" t="s">
        <v>1107</v>
      </c>
      <c r="E430" s="1" t="s">
        <v>1115</v>
      </c>
      <c r="F430" s="1" t="s">
        <v>1112</v>
      </c>
      <c r="G430" s="19">
        <v>5</v>
      </c>
      <c r="H430" s="19">
        <v>40</v>
      </c>
      <c r="I430" s="19">
        <v>12</v>
      </c>
      <c r="J430" s="19">
        <v>20</v>
      </c>
      <c r="K430" s="1" t="s">
        <v>325</v>
      </c>
      <c r="L430" s="2" t="s">
        <v>433</v>
      </c>
      <c r="M430" s="19">
        <v>1998</v>
      </c>
      <c r="N430" s="1" t="s">
        <v>447</v>
      </c>
      <c r="O430" s="19">
        <v>600</v>
      </c>
      <c r="P430" s="1" t="s">
        <v>18</v>
      </c>
      <c r="Q430" s="19">
        <v>3</v>
      </c>
      <c r="R430" s="19">
        <v>2</v>
      </c>
      <c r="S430" s="19">
        <v>33</v>
      </c>
      <c r="T430" s="14">
        <v>127500</v>
      </c>
      <c r="U430" s="14">
        <v>140000</v>
      </c>
      <c r="V430" s="14">
        <v>63000</v>
      </c>
      <c r="W430" s="4">
        <f t="shared" si="18"/>
        <v>9.8039215686274508E-2</v>
      </c>
      <c r="Z430" s="11">
        <f t="shared" si="19"/>
        <v>0.45</v>
      </c>
      <c r="AA430" s="19">
        <f t="shared" si="20"/>
        <v>77000</v>
      </c>
    </row>
    <row r="431" spans="2:27" x14ac:dyDescent="0.45">
      <c r="B431" s="7">
        <v>2048</v>
      </c>
      <c r="C431" s="1" t="s">
        <v>98</v>
      </c>
      <c r="D431" s="1" t="s">
        <v>1107</v>
      </c>
      <c r="E431" s="1" t="s">
        <v>1133</v>
      </c>
      <c r="F431" s="1" t="s">
        <v>1116</v>
      </c>
      <c r="G431" s="19">
        <v>4</v>
      </c>
      <c r="H431" s="19">
        <v>32</v>
      </c>
      <c r="I431" s="19">
        <v>10</v>
      </c>
      <c r="J431" s="19">
        <v>22</v>
      </c>
      <c r="K431" s="1" t="s">
        <v>103</v>
      </c>
      <c r="L431" s="2" t="s">
        <v>439</v>
      </c>
      <c r="M431" s="19">
        <v>2004</v>
      </c>
      <c r="N431" s="1" t="s">
        <v>447</v>
      </c>
      <c r="O431" s="19">
        <v>538</v>
      </c>
      <c r="P431" s="1" t="s">
        <v>18</v>
      </c>
      <c r="Q431" s="19">
        <v>3</v>
      </c>
      <c r="R431" s="19">
        <v>1</v>
      </c>
      <c r="S431" s="19">
        <v>25</v>
      </c>
      <c r="T431" s="14">
        <v>124000</v>
      </c>
      <c r="U431" s="14">
        <v>140000</v>
      </c>
      <c r="V431" s="14">
        <v>60000</v>
      </c>
      <c r="W431" s="4">
        <f t="shared" si="18"/>
        <v>0.12903225806451613</v>
      </c>
      <c r="Z431" s="11">
        <f t="shared" si="19"/>
        <v>0.42857142857142855</v>
      </c>
      <c r="AA431" s="19">
        <f t="shared" si="20"/>
        <v>80000</v>
      </c>
    </row>
    <row r="432" spans="2:27" x14ac:dyDescent="0.45">
      <c r="B432" s="7">
        <v>1107</v>
      </c>
      <c r="C432" s="1" t="s">
        <v>89</v>
      </c>
      <c r="D432" s="1" t="s">
        <v>816</v>
      </c>
      <c r="E432" s="1" t="s">
        <v>860</v>
      </c>
      <c r="F432" s="1" t="s">
        <v>861</v>
      </c>
      <c r="G432" s="19">
        <v>5</v>
      </c>
      <c r="H432" s="19">
        <v>35</v>
      </c>
      <c r="I432" s="19">
        <v>10</v>
      </c>
      <c r="J432" s="19">
        <v>32</v>
      </c>
      <c r="K432" s="2" t="s">
        <v>108</v>
      </c>
      <c r="L432" s="2" t="s">
        <v>433</v>
      </c>
      <c r="M432" s="19">
        <v>1993</v>
      </c>
      <c r="N432" s="1" t="s">
        <v>434</v>
      </c>
      <c r="O432" s="19">
        <v>1628</v>
      </c>
      <c r="P432" s="1" t="s">
        <v>5</v>
      </c>
      <c r="Q432" s="19">
        <v>3</v>
      </c>
      <c r="R432" s="19">
        <v>1</v>
      </c>
      <c r="S432" s="19">
        <v>25</v>
      </c>
      <c r="T432" s="14">
        <v>115000</v>
      </c>
      <c r="U432" s="14">
        <v>142000</v>
      </c>
      <c r="V432" s="14">
        <v>53000</v>
      </c>
      <c r="W432" s="4">
        <f t="shared" si="18"/>
        <v>0.23478260869565218</v>
      </c>
      <c r="Z432" s="11">
        <f t="shared" si="19"/>
        <v>0.37323943661971831</v>
      </c>
      <c r="AA432" s="19">
        <f t="shared" si="20"/>
        <v>89000</v>
      </c>
    </row>
    <row r="433" spans="2:27" x14ac:dyDescent="0.45">
      <c r="B433" s="7">
        <v>927</v>
      </c>
      <c r="C433" s="1" t="s">
        <v>20</v>
      </c>
      <c r="D433" s="1" t="s">
        <v>781</v>
      </c>
      <c r="E433" s="1" t="s">
        <v>813</v>
      </c>
      <c r="F433" s="1" t="s">
        <v>793</v>
      </c>
      <c r="G433" s="19">
        <v>6</v>
      </c>
      <c r="H433" s="19">
        <v>37</v>
      </c>
      <c r="I433" s="19">
        <v>29</v>
      </c>
      <c r="J433" s="19">
        <v>30</v>
      </c>
      <c r="K433" s="1" t="s">
        <v>97</v>
      </c>
      <c r="L433" s="2" t="s">
        <v>453</v>
      </c>
      <c r="M433" s="19">
        <v>2019</v>
      </c>
      <c r="N433" s="1" t="s">
        <v>447</v>
      </c>
      <c r="O433" s="19">
        <v>802</v>
      </c>
      <c r="P433" s="1" t="s">
        <v>18</v>
      </c>
      <c r="Q433" s="19">
        <v>3</v>
      </c>
      <c r="R433" s="19">
        <v>2</v>
      </c>
      <c r="S433" s="19">
        <v>25</v>
      </c>
      <c r="T433" s="14">
        <v>122000</v>
      </c>
      <c r="U433" s="14">
        <v>144500</v>
      </c>
      <c r="V433" s="14">
        <v>70000</v>
      </c>
      <c r="W433" s="4">
        <f t="shared" si="18"/>
        <v>0.18442622950819673</v>
      </c>
      <c r="Z433" s="11">
        <f t="shared" si="19"/>
        <v>0.48442906574394462</v>
      </c>
      <c r="AA433" s="19">
        <f t="shared" si="20"/>
        <v>74500</v>
      </c>
    </row>
    <row r="434" spans="2:27" x14ac:dyDescent="0.45">
      <c r="B434" s="7">
        <v>228</v>
      </c>
      <c r="C434" s="1" t="s">
        <v>6</v>
      </c>
      <c r="D434" s="1" t="s">
        <v>508</v>
      </c>
      <c r="E434" s="1" t="s">
        <v>518</v>
      </c>
      <c r="F434" s="1" t="s">
        <v>509</v>
      </c>
      <c r="G434" s="19">
        <v>3</v>
      </c>
      <c r="H434" s="19">
        <v>46</v>
      </c>
      <c r="I434" s="19">
        <v>50</v>
      </c>
      <c r="J434" s="19">
        <v>44</v>
      </c>
      <c r="K434" s="1" t="s">
        <v>267</v>
      </c>
      <c r="L434" s="2" t="s">
        <v>439</v>
      </c>
      <c r="M434" s="19">
        <v>2000</v>
      </c>
      <c r="N434" s="1" t="s">
        <v>434</v>
      </c>
      <c r="O434" s="19">
        <v>2938</v>
      </c>
      <c r="P434" s="1" t="s">
        <v>5</v>
      </c>
      <c r="Q434" s="19">
        <v>3</v>
      </c>
      <c r="R434" s="19">
        <v>1</v>
      </c>
      <c r="S434" s="19">
        <v>25</v>
      </c>
      <c r="T434" s="14">
        <v>125000</v>
      </c>
      <c r="U434" s="14">
        <v>145000</v>
      </c>
      <c r="V434" s="14">
        <v>50000</v>
      </c>
      <c r="W434" s="4">
        <f t="shared" si="18"/>
        <v>0.16</v>
      </c>
      <c r="Z434" s="11">
        <f t="shared" si="19"/>
        <v>0.34482758620689657</v>
      </c>
      <c r="AA434" s="19">
        <f t="shared" si="20"/>
        <v>95000</v>
      </c>
    </row>
    <row r="435" spans="2:27" x14ac:dyDescent="0.45">
      <c r="B435" s="7">
        <v>554</v>
      </c>
      <c r="C435" s="1" t="s">
        <v>26</v>
      </c>
      <c r="D435" s="1" t="s">
        <v>555</v>
      </c>
      <c r="E435" s="1" t="s">
        <v>603</v>
      </c>
      <c r="F435" s="1" t="s">
        <v>601</v>
      </c>
      <c r="G435" s="19">
        <v>7</v>
      </c>
      <c r="H435" s="19">
        <v>45</v>
      </c>
      <c r="I435" s="19">
        <v>18</v>
      </c>
      <c r="J435" s="19">
        <v>31</v>
      </c>
      <c r="K435" s="2" t="s">
        <v>604</v>
      </c>
      <c r="L435" s="2" t="s">
        <v>439</v>
      </c>
      <c r="M435" s="19">
        <v>2013</v>
      </c>
      <c r="N435" s="1" t="s">
        <v>447</v>
      </c>
      <c r="O435" s="19">
        <v>790</v>
      </c>
      <c r="P435" s="1" t="s">
        <v>18</v>
      </c>
      <c r="Q435" s="19">
        <v>3</v>
      </c>
      <c r="R435" s="19">
        <v>2</v>
      </c>
      <c r="S435" s="19">
        <v>26</v>
      </c>
      <c r="T435" s="14">
        <v>119000</v>
      </c>
      <c r="U435" s="14">
        <v>145000</v>
      </c>
      <c r="V435" s="14">
        <v>70000</v>
      </c>
      <c r="W435" s="4">
        <f t="shared" si="18"/>
        <v>0.21848739495798319</v>
      </c>
      <c r="Z435" s="11">
        <f t="shared" si="19"/>
        <v>0.48275862068965519</v>
      </c>
      <c r="AA435" s="19">
        <f t="shared" si="20"/>
        <v>75000</v>
      </c>
    </row>
    <row r="436" spans="2:27" x14ac:dyDescent="0.45">
      <c r="B436" s="7">
        <v>610</v>
      </c>
      <c r="C436" s="1" t="s">
        <v>15</v>
      </c>
      <c r="D436" s="1" t="s">
        <v>607</v>
      </c>
      <c r="E436" s="1" t="s">
        <v>623</v>
      </c>
      <c r="F436" s="1" t="s">
        <v>624</v>
      </c>
      <c r="G436" s="19">
        <v>5</v>
      </c>
      <c r="H436" s="19">
        <v>25</v>
      </c>
      <c r="I436" s="19">
        <v>35</v>
      </c>
      <c r="J436" s="19">
        <v>31</v>
      </c>
      <c r="K436" s="1" t="s">
        <v>16</v>
      </c>
      <c r="L436" s="2" t="s">
        <v>453</v>
      </c>
      <c r="M436" s="19">
        <v>2019</v>
      </c>
      <c r="N436" s="1" t="s">
        <v>434</v>
      </c>
      <c r="O436" s="19">
        <v>1531</v>
      </c>
      <c r="P436" s="1" t="s">
        <v>18</v>
      </c>
      <c r="Q436" s="19">
        <v>3</v>
      </c>
      <c r="R436" s="19">
        <v>2</v>
      </c>
      <c r="S436" s="19">
        <v>33</v>
      </c>
      <c r="T436" s="14">
        <v>145000</v>
      </c>
      <c r="U436" s="14">
        <v>145000</v>
      </c>
      <c r="V436" s="14">
        <v>80000</v>
      </c>
      <c r="W436" s="4">
        <f t="shared" si="18"/>
        <v>0</v>
      </c>
      <c r="Z436" s="11">
        <f t="shared" si="19"/>
        <v>0.55172413793103448</v>
      </c>
      <c r="AA436" s="19">
        <f t="shared" si="20"/>
        <v>65000</v>
      </c>
    </row>
    <row r="437" spans="2:27" x14ac:dyDescent="0.45">
      <c r="B437" s="7">
        <v>691</v>
      </c>
      <c r="C437" s="1" t="s">
        <v>52</v>
      </c>
      <c r="D437" s="1" t="s">
        <v>652</v>
      </c>
      <c r="E437" s="1" t="s">
        <v>665</v>
      </c>
      <c r="F437" s="1" t="s">
        <v>666</v>
      </c>
      <c r="G437" s="19">
        <v>3</v>
      </c>
      <c r="H437" s="19">
        <v>35</v>
      </c>
      <c r="I437" s="19">
        <v>15</v>
      </c>
      <c r="J437" s="19">
        <v>25</v>
      </c>
      <c r="K437" s="1" t="s">
        <v>302</v>
      </c>
      <c r="L437" s="2" t="s">
        <v>439</v>
      </c>
      <c r="M437" s="19">
        <v>2000</v>
      </c>
      <c r="N437" s="1" t="s">
        <v>447</v>
      </c>
      <c r="O437" s="19">
        <v>655</v>
      </c>
      <c r="P437" s="5" t="s">
        <v>18</v>
      </c>
      <c r="Q437" s="18">
        <v>3</v>
      </c>
      <c r="R437" s="19">
        <v>2</v>
      </c>
      <c r="S437" s="18">
        <v>33</v>
      </c>
      <c r="T437" s="14">
        <v>134750</v>
      </c>
      <c r="U437" s="14">
        <v>145000</v>
      </c>
      <c r="V437" s="14">
        <v>75000</v>
      </c>
      <c r="W437" s="4">
        <f t="shared" si="18"/>
        <v>7.6066790352504632E-2</v>
      </c>
      <c r="Z437" s="11">
        <f t="shared" si="19"/>
        <v>0.51724137931034486</v>
      </c>
      <c r="AA437" s="19">
        <f t="shared" si="20"/>
        <v>70000</v>
      </c>
    </row>
    <row r="438" spans="2:27" x14ac:dyDescent="0.45">
      <c r="B438" s="7">
        <v>698</v>
      </c>
      <c r="C438" s="1" t="s">
        <v>52</v>
      </c>
      <c r="D438" s="1" t="s">
        <v>652</v>
      </c>
      <c r="E438" s="1" t="s">
        <v>669</v>
      </c>
      <c r="F438" s="1" t="s">
        <v>666</v>
      </c>
      <c r="G438" s="19">
        <v>4</v>
      </c>
      <c r="H438" s="19">
        <v>37</v>
      </c>
      <c r="I438" s="19">
        <v>17</v>
      </c>
      <c r="J438" s="19">
        <v>27</v>
      </c>
      <c r="K438" s="1" t="s">
        <v>299</v>
      </c>
      <c r="L438" s="2" t="s">
        <v>439</v>
      </c>
      <c r="M438" s="19">
        <v>2004</v>
      </c>
      <c r="N438" s="1" t="s">
        <v>440</v>
      </c>
      <c r="O438" s="19">
        <v>411</v>
      </c>
      <c r="P438" s="5" t="s">
        <v>18</v>
      </c>
      <c r="Q438" s="18">
        <v>3</v>
      </c>
      <c r="R438" s="19">
        <v>2</v>
      </c>
      <c r="S438" s="18">
        <v>33</v>
      </c>
      <c r="T438" s="14">
        <v>145000</v>
      </c>
      <c r="U438" s="14">
        <v>145000</v>
      </c>
      <c r="V438" s="14">
        <v>70000</v>
      </c>
      <c r="W438" s="4">
        <f t="shared" si="18"/>
        <v>0</v>
      </c>
      <c r="Z438" s="11">
        <f t="shared" si="19"/>
        <v>0.48275862068965519</v>
      </c>
      <c r="AA438" s="19">
        <f t="shared" si="20"/>
        <v>75000</v>
      </c>
    </row>
    <row r="439" spans="2:27" x14ac:dyDescent="0.45">
      <c r="B439" s="7">
        <v>857</v>
      </c>
      <c r="C439" s="1" t="s">
        <v>20</v>
      </c>
      <c r="D439" s="1" t="s">
        <v>781</v>
      </c>
      <c r="E439" s="1" t="s">
        <v>791</v>
      </c>
      <c r="F439" s="1" t="s">
        <v>783</v>
      </c>
      <c r="G439" s="19">
        <v>3</v>
      </c>
      <c r="H439" s="19">
        <v>32</v>
      </c>
      <c r="I439" s="19">
        <v>28</v>
      </c>
      <c r="J439" s="19">
        <v>25</v>
      </c>
      <c r="K439" s="1" t="s">
        <v>402</v>
      </c>
      <c r="L439" s="2" t="s">
        <v>439</v>
      </c>
      <c r="M439" s="19">
        <v>2010</v>
      </c>
      <c r="N439" s="1" t="s">
        <v>447</v>
      </c>
      <c r="O439" s="19">
        <v>725</v>
      </c>
      <c r="P439" s="1" t="s">
        <v>18</v>
      </c>
      <c r="Q439" s="19">
        <v>3</v>
      </c>
      <c r="R439" s="19">
        <v>2</v>
      </c>
      <c r="S439" s="19">
        <v>33</v>
      </c>
      <c r="T439" s="14">
        <v>136000</v>
      </c>
      <c r="U439" s="14">
        <v>145000</v>
      </c>
      <c r="V439" s="14">
        <v>68000</v>
      </c>
      <c r="W439" s="4">
        <f t="shared" si="18"/>
        <v>6.6176470588235295E-2</v>
      </c>
      <c r="Z439" s="11">
        <f t="shared" si="19"/>
        <v>0.4689655172413793</v>
      </c>
      <c r="AA439" s="19">
        <f t="shared" si="20"/>
        <v>77000</v>
      </c>
    </row>
    <row r="440" spans="2:27" x14ac:dyDescent="0.45">
      <c r="B440" s="7">
        <v>898</v>
      </c>
      <c r="C440" s="1" t="s">
        <v>20</v>
      </c>
      <c r="D440" s="1" t="s">
        <v>781</v>
      </c>
      <c r="E440" s="1" t="s">
        <v>808</v>
      </c>
      <c r="F440" s="1" t="s">
        <v>794</v>
      </c>
      <c r="G440" s="19">
        <v>6</v>
      </c>
      <c r="H440" s="19">
        <v>34</v>
      </c>
      <c r="I440" s="19">
        <v>31</v>
      </c>
      <c r="J440" s="19">
        <v>24</v>
      </c>
      <c r="K440" s="1" t="s">
        <v>809</v>
      </c>
      <c r="L440" s="2" t="s">
        <v>439</v>
      </c>
      <c r="M440" s="19">
        <v>2011</v>
      </c>
      <c r="N440" s="1" t="s">
        <v>447</v>
      </c>
      <c r="O440" s="19">
        <v>844</v>
      </c>
      <c r="P440" s="1" t="s">
        <v>18</v>
      </c>
      <c r="Q440" s="19">
        <v>3</v>
      </c>
      <c r="R440" s="19">
        <v>2</v>
      </c>
      <c r="S440" s="19">
        <v>25</v>
      </c>
      <c r="T440" s="14">
        <v>120000</v>
      </c>
      <c r="U440" s="14">
        <v>145000</v>
      </c>
      <c r="V440" s="14">
        <v>65000</v>
      </c>
      <c r="W440" s="4">
        <f t="shared" si="18"/>
        <v>0.20833333333333334</v>
      </c>
      <c r="Z440" s="11">
        <f t="shared" si="19"/>
        <v>0.44827586206896552</v>
      </c>
      <c r="AA440" s="19">
        <f t="shared" si="20"/>
        <v>80000</v>
      </c>
    </row>
    <row r="441" spans="2:27" x14ac:dyDescent="0.45">
      <c r="B441" s="7">
        <v>1023</v>
      </c>
      <c r="C441" s="1" t="s">
        <v>14</v>
      </c>
      <c r="D441" s="1" t="s">
        <v>816</v>
      </c>
      <c r="E441" s="1" t="s">
        <v>845</v>
      </c>
      <c r="F441" s="1" t="s">
        <v>844</v>
      </c>
      <c r="G441" s="19">
        <v>6</v>
      </c>
      <c r="H441" s="19">
        <v>22</v>
      </c>
      <c r="I441" s="19">
        <v>28</v>
      </c>
      <c r="J441" s="19">
        <v>35</v>
      </c>
      <c r="K441" s="2" t="s">
        <v>250</v>
      </c>
      <c r="L441" s="2" t="s">
        <v>439</v>
      </c>
      <c r="M441" s="19">
        <v>2001</v>
      </c>
      <c r="N441" s="1" t="s">
        <v>434</v>
      </c>
      <c r="O441" s="19">
        <v>1696</v>
      </c>
      <c r="P441" s="1" t="s">
        <v>5</v>
      </c>
      <c r="Q441" s="19">
        <v>2</v>
      </c>
      <c r="R441" s="19">
        <v>1</v>
      </c>
      <c r="S441" s="19">
        <v>25</v>
      </c>
      <c r="T441" s="14">
        <v>100000</v>
      </c>
      <c r="U441" s="14">
        <v>145000</v>
      </c>
      <c r="V441" s="14">
        <v>45000</v>
      </c>
      <c r="W441" s="4">
        <f t="shared" si="18"/>
        <v>0.45</v>
      </c>
      <c r="Z441" s="11">
        <f t="shared" si="19"/>
        <v>0.31034482758620691</v>
      </c>
      <c r="AA441" s="19">
        <f t="shared" si="20"/>
        <v>100000</v>
      </c>
    </row>
    <row r="442" spans="2:27" x14ac:dyDescent="0.45">
      <c r="B442" s="7">
        <v>1044</v>
      </c>
      <c r="C442" s="1" t="s">
        <v>232</v>
      </c>
      <c r="D442" s="1" t="s">
        <v>816</v>
      </c>
      <c r="E442" s="1" t="s">
        <v>850</v>
      </c>
      <c r="F442" s="1" t="s">
        <v>849</v>
      </c>
      <c r="G442" s="19">
        <v>4</v>
      </c>
      <c r="H442" s="19">
        <v>22</v>
      </c>
      <c r="I442" s="19">
        <v>28</v>
      </c>
      <c r="J442" s="19">
        <v>36</v>
      </c>
      <c r="K442" s="2" t="s">
        <v>851</v>
      </c>
      <c r="L442" s="2" t="s">
        <v>453</v>
      </c>
      <c r="M442" s="19">
        <v>2021</v>
      </c>
      <c r="N442" s="1" t="s">
        <v>447</v>
      </c>
      <c r="O442" s="19">
        <v>959</v>
      </c>
      <c r="P442" s="1" t="s">
        <v>18</v>
      </c>
      <c r="Q442" s="19">
        <v>3</v>
      </c>
      <c r="R442" s="19">
        <v>1</v>
      </c>
      <c r="S442" s="19">
        <v>22</v>
      </c>
      <c r="T442" s="14">
        <v>92900</v>
      </c>
      <c r="U442" s="14">
        <v>145000</v>
      </c>
      <c r="V442" s="14">
        <v>65000</v>
      </c>
      <c r="W442" s="4">
        <f t="shared" si="18"/>
        <v>0.56081808396124866</v>
      </c>
      <c r="Z442" s="11">
        <f t="shared" si="19"/>
        <v>0.44827586206896552</v>
      </c>
      <c r="AA442" s="19">
        <f t="shared" si="20"/>
        <v>80000</v>
      </c>
    </row>
    <row r="443" spans="2:27" x14ac:dyDescent="0.45">
      <c r="B443" s="7">
        <v>1052</v>
      </c>
      <c r="C443" s="1" t="s">
        <v>89</v>
      </c>
      <c r="D443" s="1" t="s">
        <v>816</v>
      </c>
      <c r="E443" s="1" t="s">
        <v>829</v>
      </c>
      <c r="F443" s="1" t="s">
        <v>828</v>
      </c>
      <c r="G443" s="19">
        <v>5</v>
      </c>
      <c r="H443" s="19">
        <v>20</v>
      </c>
      <c r="I443" s="19">
        <v>26</v>
      </c>
      <c r="J443" s="19">
        <v>33</v>
      </c>
      <c r="K443" s="2" t="s">
        <v>235</v>
      </c>
      <c r="L443" s="2" t="s">
        <v>439</v>
      </c>
      <c r="M443" s="19">
        <v>2003</v>
      </c>
      <c r="N443" s="1" t="s">
        <v>447</v>
      </c>
      <c r="O443" s="19">
        <v>896</v>
      </c>
      <c r="P443" s="1" t="s">
        <v>18</v>
      </c>
      <c r="Q443" s="19">
        <v>3</v>
      </c>
      <c r="R443" s="19">
        <v>2</v>
      </c>
      <c r="S443" s="19">
        <v>33</v>
      </c>
      <c r="T443" s="14">
        <v>133500</v>
      </c>
      <c r="U443" s="14">
        <v>145000</v>
      </c>
      <c r="V443" s="14">
        <v>68000</v>
      </c>
      <c r="W443" s="4">
        <f t="shared" si="18"/>
        <v>8.6142322097378279E-2</v>
      </c>
      <c r="Z443" s="11">
        <f t="shared" si="19"/>
        <v>0.4689655172413793</v>
      </c>
      <c r="AA443" s="19">
        <f t="shared" si="20"/>
        <v>77000</v>
      </c>
    </row>
    <row r="444" spans="2:27" x14ac:dyDescent="0.45">
      <c r="B444" s="7">
        <v>1075</v>
      </c>
      <c r="C444" s="1" t="s">
        <v>89</v>
      </c>
      <c r="D444" s="1" t="s">
        <v>816</v>
      </c>
      <c r="E444" s="1" t="s">
        <v>854</v>
      </c>
      <c r="F444" s="1" t="s">
        <v>855</v>
      </c>
      <c r="G444" s="19">
        <v>3</v>
      </c>
      <c r="H444" s="19">
        <v>16</v>
      </c>
      <c r="I444" s="19">
        <v>24</v>
      </c>
      <c r="J444" s="19">
        <v>34</v>
      </c>
      <c r="K444" s="2" t="s">
        <v>231</v>
      </c>
      <c r="L444" s="2" t="s">
        <v>439</v>
      </c>
      <c r="M444" s="19">
        <v>2011</v>
      </c>
      <c r="N444" s="1" t="s">
        <v>440</v>
      </c>
      <c r="O444" s="19">
        <v>451</v>
      </c>
      <c r="P444" s="1" t="s">
        <v>18</v>
      </c>
      <c r="Q444" s="19">
        <v>3</v>
      </c>
      <c r="R444" s="19">
        <v>2</v>
      </c>
      <c r="S444" s="19">
        <v>24</v>
      </c>
      <c r="T444" s="14">
        <v>140000</v>
      </c>
      <c r="U444" s="14">
        <v>145000</v>
      </c>
      <c r="V444" s="14">
        <v>80000</v>
      </c>
      <c r="W444" s="4">
        <f t="shared" si="18"/>
        <v>3.5714285714285712E-2</v>
      </c>
      <c r="Z444" s="11">
        <f t="shared" si="19"/>
        <v>0.55172413793103448</v>
      </c>
      <c r="AA444" s="19">
        <f t="shared" si="20"/>
        <v>65000</v>
      </c>
    </row>
    <row r="445" spans="2:27" x14ac:dyDescent="0.45">
      <c r="B445" s="7">
        <v>1215</v>
      </c>
      <c r="C445" s="1" t="s">
        <v>869</v>
      </c>
      <c r="D445" s="1" t="s">
        <v>866</v>
      </c>
      <c r="E445" s="1" t="s">
        <v>895</v>
      </c>
      <c r="F445" s="1" t="s">
        <v>889</v>
      </c>
      <c r="G445" s="19">
        <v>6</v>
      </c>
      <c r="H445" s="19">
        <v>40</v>
      </c>
      <c r="I445" s="19">
        <v>15</v>
      </c>
      <c r="J445" s="19">
        <v>20</v>
      </c>
      <c r="K445" s="1" t="s">
        <v>118</v>
      </c>
      <c r="L445" s="2" t="s">
        <v>439</v>
      </c>
      <c r="M445" s="19">
        <v>2000</v>
      </c>
      <c r="N445" s="1" t="s">
        <v>447</v>
      </c>
      <c r="O445" s="19">
        <v>914</v>
      </c>
      <c r="P445" s="1" t="s">
        <v>18</v>
      </c>
      <c r="Q445" s="19">
        <v>3</v>
      </c>
      <c r="R445" s="19">
        <v>1</v>
      </c>
      <c r="S445" s="19">
        <v>25</v>
      </c>
      <c r="T445" s="14">
        <v>114500</v>
      </c>
      <c r="U445" s="14">
        <v>145000</v>
      </c>
      <c r="V445" s="14">
        <v>50000</v>
      </c>
      <c r="W445" s="4">
        <f t="shared" si="18"/>
        <v>0.26637554585152839</v>
      </c>
      <c r="Z445" s="11">
        <f t="shared" si="19"/>
        <v>0.34482758620689657</v>
      </c>
      <c r="AA445" s="19">
        <f t="shared" si="20"/>
        <v>95000</v>
      </c>
    </row>
    <row r="446" spans="2:27" x14ac:dyDescent="0.45">
      <c r="B446" s="7">
        <v>1261</v>
      </c>
      <c r="C446" s="1" t="s">
        <v>2</v>
      </c>
      <c r="D446" s="1" t="s">
        <v>899</v>
      </c>
      <c r="E446" s="1" t="s">
        <v>905</v>
      </c>
      <c r="F446" s="1" t="s">
        <v>902</v>
      </c>
      <c r="G446" s="19">
        <v>10</v>
      </c>
      <c r="H446" s="19">
        <v>45</v>
      </c>
      <c r="I446" s="19">
        <v>32</v>
      </c>
      <c r="J446" s="19">
        <v>15</v>
      </c>
      <c r="K446" s="1" t="s">
        <v>906</v>
      </c>
      <c r="L446" s="2" t="s">
        <v>453</v>
      </c>
      <c r="M446" s="19">
        <v>2020</v>
      </c>
      <c r="N446" s="1" t="s">
        <v>447</v>
      </c>
      <c r="O446" s="19">
        <v>906</v>
      </c>
      <c r="P446" s="1" t="s">
        <v>18</v>
      </c>
      <c r="Q446" s="19">
        <v>3</v>
      </c>
      <c r="R446" s="19">
        <v>2</v>
      </c>
      <c r="S446" s="19">
        <v>33</v>
      </c>
      <c r="T446" s="14">
        <v>132500</v>
      </c>
      <c r="U446" s="14">
        <v>145000</v>
      </c>
      <c r="V446" s="14">
        <v>78000</v>
      </c>
      <c r="W446" s="4">
        <f t="shared" si="18"/>
        <v>9.4339622641509441E-2</v>
      </c>
      <c r="Z446" s="11">
        <f t="shared" si="19"/>
        <v>0.53793103448275859</v>
      </c>
      <c r="AA446" s="19">
        <f t="shared" si="20"/>
        <v>67000</v>
      </c>
    </row>
    <row r="447" spans="2:27" x14ac:dyDescent="0.45">
      <c r="B447" s="7">
        <v>1643</v>
      </c>
      <c r="C447" s="1" t="s">
        <v>137</v>
      </c>
      <c r="D447" s="1" t="s">
        <v>998</v>
      </c>
      <c r="E447" s="1" t="s">
        <v>1016</v>
      </c>
      <c r="F447" s="1" t="s">
        <v>1017</v>
      </c>
      <c r="G447" s="19">
        <v>6</v>
      </c>
      <c r="H447" s="19">
        <v>48</v>
      </c>
      <c r="I447" s="19">
        <v>45</v>
      </c>
      <c r="J447" s="19">
        <v>32</v>
      </c>
      <c r="K447" s="6" t="s">
        <v>165</v>
      </c>
      <c r="L447" s="2" t="s">
        <v>453</v>
      </c>
      <c r="M447" s="19">
        <v>2022</v>
      </c>
      <c r="N447" s="1" t="s">
        <v>434</v>
      </c>
      <c r="O447" s="19">
        <v>2029</v>
      </c>
      <c r="P447" s="1" t="s">
        <v>18</v>
      </c>
      <c r="Q447" s="19">
        <v>3</v>
      </c>
      <c r="R447" s="19">
        <v>2</v>
      </c>
      <c r="S447" s="19">
        <v>25</v>
      </c>
      <c r="T447" s="14">
        <v>112000</v>
      </c>
      <c r="U447" s="14">
        <v>145000</v>
      </c>
      <c r="V447" s="14">
        <v>75000</v>
      </c>
      <c r="W447" s="4">
        <f t="shared" si="18"/>
        <v>0.29464285714285715</v>
      </c>
      <c r="Z447" s="11">
        <f t="shared" si="19"/>
        <v>0.51724137931034486</v>
      </c>
      <c r="AA447" s="19">
        <f t="shared" si="20"/>
        <v>70000</v>
      </c>
    </row>
    <row r="448" spans="2:27" x14ac:dyDescent="0.45">
      <c r="B448" s="7">
        <v>1916</v>
      </c>
      <c r="C448" s="1" t="s">
        <v>185</v>
      </c>
      <c r="D448" s="1" t="s">
        <v>1077</v>
      </c>
      <c r="E448" s="1" t="s">
        <v>1090</v>
      </c>
      <c r="F448" s="1" t="s">
        <v>1080</v>
      </c>
      <c r="G448" s="19">
        <v>8</v>
      </c>
      <c r="H448" s="19">
        <v>45</v>
      </c>
      <c r="I448" s="19">
        <v>25</v>
      </c>
      <c r="J448" s="19">
        <v>35</v>
      </c>
      <c r="K448" s="1" t="s">
        <v>1091</v>
      </c>
      <c r="L448" s="2" t="s">
        <v>439</v>
      </c>
      <c r="M448" s="19">
        <v>2002</v>
      </c>
      <c r="N448" s="1" t="s">
        <v>447</v>
      </c>
      <c r="O448" s="19">
        <v>590</v>
      </c>
      <c r="P448" s="1" t="s">
        <v>5</v>
      </c>
      <c r="Q448" s="19">
        <v>3</v>
      </c>
      <c r="R448" s="19">
        <v>2</v>
      </c>
      <c r="S448" s="19">
        <v>25</v>
      </c>
      <c r="T448" s="14">
        <v>132000</v>
      </c>
      <c r="U448" s="14">
        <v>145000</v>
      </c>
      <c r="V448" s="14">
        <v>75000</v>
      </c>
      <c r="W448" s="4">
        <f t="shared" si="18"/>
        <v>9.8484848484848481E-2</v>
      </c>
      <c r="Z448" s="11">
        <f t="shared" si="19"/>
        <v>0.51724137931034486</v>
      </c>
      <c r="AA448" s="19">
        <f t="shared" si="20"/>
        <v>70000</v>
      </c>
    </row>
    <row r="449" spans="2:27" x14ac:dyDescent="0.45">
      <c r="B449" s="7">
        <v>2005</v>
      </c>
      <c r="C449" s="1" t="s">
        <v>98</v>
      </c>
      <c r="D449" s="1" t="s">
        <v>1107</v>
      </c>
      <c r="E449" s="1" t="s">
        <v>1121</v>
      </c>
      <c r="F449" s="1" t="s">
        <v>1119</v>
      </c>
      <c r="G449" s="19">
        <v>8</v>
      </c>
      <c r="H449" s="19">
        <v>38</v>
      </c>
      <c r="I449" s="19">
        <v>18</v>
      </c>
      <c r="J449" s="19">
        <v>28</v>
      </c>
      <c r="K449" s="1" t="s">
        <v>1122</v>
      </c>
      <c r="L449" s="2" t="s">
        <v>453</v>
      </c>
      <c r="M449" s="19">
        <v>2019</v>
      </c>
      <c r="N449" s="1" t="s">
        <v>447</v>
      </c>
      <c r="O449" s="19">
        <v>612</v>
      </c>
      <c r="P449" s="1" t="s">
        <v>18</v>
      </c>
      <c r="Q449" s="19">
        <v>3</v>
      </c>
      <c r="R449" s="19">
        <v>2</v>
      </c>
      <c r="S449" s="19">
        <v>25</v>
      </c>
      <c r="T449" s="14">
        <v>129500</v>
      </c>
      <c r="U449" s="14">
        <v>145000</v>
      </c>
      <c r="V449" s="14">
        <v>73000</v>
      </c>
      <c r="W449" s="4">
        <f t="shared" si="18"/>
        <v>0.11969111969111969</v>
      </c>
      <c r="Z449" s="11">
        <f t="shared" si="19"/>
        <v>0.50344827586206897</v>
      </c>
      <c r="AA449" s="19">
        <f t="shared" si="20"/>
        <v>72000</v>
      </c>
    </row>
    <row r="450" spans="2:27" x14ac:dyDescent="0.45">
      <c r="B450" s="7">
        <v>2170</v>
      </c>
      <c r="C450" s="1" t="s">
        <v>92</v>
      </c>
      <c r="D450" s="1" t="s">
        <v>1150</v>
      </c>
      <c r="E450" s="1" t="s">
        <v>1159</v>
      </c>
      <c r="F450" s="1" t="s">
        <v>1160</v>
      </c>
      <c r="G450" s="19">
        <v>5</v>
      </c>
      <c r="H450" s="19">
        <v>50</v>
      </c>
      <c r="I450" s="19">
        <v>40</v>
      </c>
      <c r="J450" s="19">
        <v>22</v>
      </c>
      <c r="K450" s="2" t="s">
        <v>346</v>
      </c>
      <c r="L450" s="2" t="s">
        <v>453</v>
      </c>
      <c r="M450" s="19">
        <v>2020</v>
      </c>
      <c r="N450" s="1" t="s">
        <v>434</v>
      </c>
      <c r="O450" s="19">
        <v>2569</v>
      </c>
      <c r="P450" s="1" t="s">
        <v>18</v>
      </c>
      <c r="Q450" s="19">
        <v>3</v>
      </c>
      <c r="R450" s="19">
        <v>2</v>
      </c>
      <c r="S450" s="19">
        <v>33</v>
      </c>
      <c r="T450" s="14">
        <v>140110</v>
      </c>
      <c r="U450" s="14">
        <v>145000</v>
      </c>
      <c r="V450" s="14">
        <v>80000</v>
      </c>
      <c r="W450" s="4">
        <f t="shared" si="18"/>
        <v>3.4901149097137964E-2</v>
      </c>
      <c r="Z450" s="11">
        <f t="shared" si="19"/>
        <v>0.55172413793103448</v>
      </c>
      <c r="AA450" s="19">
        <f t="shared" si="20"/>
        <v>65000</v>
      </c>
    </row>
    <row r="451" spans="2:27" x14ac:dyDescent="0.45">
      <c r="B451" s="7">
        <v>2295</v>
      </c>
      <c r="C451" s="1" t="s">
        <v>295</v>
      </c>
      <c r="D451" s="1" t="s">
        <v>1194</v>
      </c>
      <c r="E451" s="1" t="s">
        <v>1201</v>
      </c>
      <c r="F451" s="1" t="s">
        <v>1200</v>
      </c>
      <c r="G451" s="19">
        <v>4</v>
      </c>
      <c r="H451" s="19">
        <v>40</v>
      </c>
      <c r="I451" s="19">
        <v>40</v>
      </c>
      <c r="J451" s="19">
        <v>20</v>
      </c>
      <c r="K451" s="1" t="s">
        <v>296</v>
      </c>
      <c r="L451" s="2" t="s">
        <v>433</v>
      </c>
      <c r="M451" s="19">
        <v>1999</v>
      </c>
      <c r="N451" s="1" t="s">
        <v>447</v>
      </c>
      <c r="O451" s="19">
        <v>994</v>
      </c>
      <c r="P451" s="1" t="s">
        <v>18</v>
      </c>
      <c r="Q451" s="19">
        <v>2</v>
      </c>
      <c r="R451" s="19">
        <v>1</v>
      </c>
      <c r="S451" s="19">
        <v>25</v>
      </c>
      <c r="T451" s="14">
        <v>107500</v>
      </c>
      <c r="U451" s="14">
        <v>145000</v>
      </c>
      <c r="V451" s="14">
        <v>58000</v>
      </c>
      <c r="W451" s="4">
        <f t="shared" si="18"/>
        <v>0.34883720930232559</v>
      </c>
      <c r="Z451" s="11">
        <f t="shared" si="19"/>
        <v>0.4</v>
      </c>
      <c r="AA451" s="19">
        <f t="shared" si="20"/>
        <v>87000</v>
      </c>
    </row>
    <row r="452" spans="2:27" x14ac:dyDescent="0.45">
      <c r="B452" s="7">
        <v>248</v>
      </c>
      <c r="C452" s="1" t="s">
        <v>6</v>
      </c>
      <c r="D452" s="1" t="s">
        <v>508</v>
      </c>
      <c r="E452" s="1" t="s">
        <v>527</v>
      </c>
      <c r="F452" s="1" t="s">
        <v>526</v>
      </c>
      <c r="G452" s="19">
        <v>5</v>
      </c>
      <c r="H452" s="19">
        <v>35</v>
      </c>
      <c r="I452" s="19">
        <v>45</v>
      </c>
      <c r="J452" s="19">
        <v>51</v>
      </c>
      <c r="K452" s="1" t="s">
        <v>528</v>
      </c>
      <c r="L452" s="2" t="s">
        <v>439</v>
      </c>
      <c r="M452" s="19">
        <v>2010</v>
      </c>
      <c r="N452" s="1" t="s">
        <v>447</v>
      </c>
      <c r="O452" s="19">
        <v>800</v>
      </c>
      <c r="P452" s="1" t="s">
        <v>18</v>
      </c>
      <c r="Q452" s="19">
        <v>3</v>
      </c>
      <c r="R452" s="19">
        <v>2</v>
      </c>
      <c r="S452" s="19">
        <v>25</v>
      </c>
      <c r="T452" s="14">
        <v>120000</v>
      </c>
      <c r="U452" s="14">
        <v>147000</v>
      </c>
      <c r="V452" s="14">
        <v>65000</v>
      </c>
      <c r="W452" s="4">
        <f t="shared" si="18"/>
        <v>0.22500000000000001</v>
      </c>
      <c r="Z452" s="11">
        <f t="shared" si="19"/>
        <v>0.44217687074829931</v>
      </c>
      <c r="AA452" s="19">
        <f t="shared" si="20"/>
        <v>82000</v>
      </c>
    </row>
    <row r="453" spans="2:27" x14ac:dyDescent="0.45">
      <c r="B453" s="7">
        <v>383</v>
      </c>
      <c r="C453" s="1" t="s">
        <v>86</v>
      </c>
      <c r="D453" s="1" t="s">
        <v>555</v>
      </c>
      <c r="E453" s="1" t="s">
        <v>565</v>
      </c>
      <c r="F453" s="1" t="s">
        <v>561</v>
      </c>
      <c r="G453" s="19">
        <v>4</v>
      </c>
      <c r="H453" s="19">
        <v>44</v>
      </c>
      <c r="I453" s="19">
        <v>17</v>
      </c>
      <c r="J453" s="19">
        <v>30</v>
      </c>
      <c r="K453" s="2" t="s">
        <v>566</v>
      </c>
      <c r="L453" s="2" t="s">
        <v>439</v>
      </c>
      <c r="M453" s="19">
        <v>2005</v>
      </c>
      <c r="N453" s="1" t="s">
        <v>440</v>
      </c>
      <c r="O453" s="19">
        <v>417</v>
      </c>
      <c r="P453" s="1" t="s">
        <v>18</v>
      </c>
      <c r="Q453" s="19">
        <v>3</v>
      </c>
      <c r="R453" s="19">
        <v>2</v>
      </c>
      <c r="S453" s="19">
        <v>33</v>
      </c>
      <c r="T453" s="14">
        <v>136000</v>
      </c>
      <c r="U453" s="14">
        <v>147000</v>
      </c>
      <c r="V453" s="14">
        <v>80000</v>
      </c>
      <c r="W453" s="4">
        <f t="shared" si="18"/>
        <v>8.0882352941176475E-2</v>
      </c>
      <c r="Z453" s="11">
        <f t="shared" si="19"/>
        <v>0.54421768707482998</v>
      </c>
      <c r="AA453" s="19">
        <f t="shared" si="20"/>
        <v>67000</v>
      </c>
    </row>
    <row r="454" spans="2:27" x14ac:dyDescent="0.45">
      <c r="B454" s="7">
        <v>448</v>
      </c>
      <c r="C454" s="1" t="s">
        <v>166</v>
      </c>
      <c r="D454" s="1" t="s">
        <v>555</v>
      </c>
      <c r="E454" s="1" t="s">
        <v>576</v>
      </c>
      <c r="F454" s="1" t="s">
        <v>577</v>
      </c>
      <c r="G454" s="19">
        <v>5</v>
      </c>
      <c r="H454" s="19">
        <v>48</v>
      </c>
      <c r="I454" s="19">
        <v>21</v>
      </c>
      <c r="J454" s="19">
        <v>35</v>
      </c>
      <c r="K454" s="2" t="s">
        <v>172</v>
      </c>
      <c r="L454" s="2" t="s">
        <v>453</v>
      </c>
      <c r="M454" s="19">
        <v>2017</v>
      </c>
      <c r="N454" s="1" t="s">
        <v>447</v>
      </c>
      <c r="O454" s="19">
        <v>603</v>
      </c>
      <c r="P454" s="1" t="s">
        <v>18</v>
      </c>
      <c r="Q454" s="19">
        <v>3</v>
      </c>
      <c r="R454" s="19">
        <v>2</v>
      </c>
      <c r="S454" s="19">
        <v>24</v>
      </c>
      <c r="T454" s="14">
        <v>126000</v>
      </c>
      <c r="U454" s="14">
        <v>147000</v>
      </c>
      <c r="V454" s="14">
        <v>72000</v>
      </c>
      <c r="W454" s="4">
        <f t="shared" ref="W454:W517" si="21">(U454-$T454)/$T454</f>
        <v>0.16666666666666666</v>
      </c>
      <c r="Z454" s="11">
        <f t="shared" ref="Z454:Z517" si="22">V454/U454</f>
        <v>0.48979591836734693</v>
      </c>
      <c r="AA454" s="19">
        <f t="shared" ref="AA454:AA517" si="23">U454-V454</f>
        <v>75000</v>
      </c>
    </row>
    <row r="455" spans="2:27" x14ac:dyDescent="0.45">
      <c r="B455" s="7">
        <v>828</v>
      </c>
      <c r="C455" s="1" t="s">
        <v>20</v>
      </c>
      <c r="D455" s="1" t="s">
        <v>781</v>
      </c>
      <c r="E455" s="1" t="s">
        <v>787</v>
      </c>
      <c r="F455" s="1" t="s">
        <v>786</v>
      </c>
      <c r="G455" s="19">
        <v>7</v>
      </c>
      <c r="H455" s="19">
        <v>45</v>
      </c>
      <c r="I455" s="19">
        <v>38</v>
      </c>
      <c r="J455" s="19">
        <v>35</v>
      </c>
      <c r="K455" s="1" t="s">
        <v>420</v>
      </c>
      <c r="L455" s="2" t="s">
        <v>453</v>
      </c>
      <c r="M455" s="19">
        <v>2025</v>
      </c>
      <c r="N455" s="1" t="s">
        <v>434</v>
      </c>
      <c r="O455" s="19">
        <v>1806</v>
      </c>
      <c r="P455" s="1" t="s">
        <v>18</v>
      </c>
      <c r="Q455" s="19">
        <v>3</v>
      </c>
      <c r="R455" s="19">
        <v>2</v>
      </c>
      <c r="S455" s="19">
        <v>25</v>
      </c>
      <c r="T455" s="14">
        <v>0</v>
      </c>
      <c r="U455" s="14">
        <v>147000</v>
      </c>
      <c r="V455" s="14">
        <v>65000</v>
      </c>
      <c r="W455" s="4" t="e">
        <f t="shared" si="21"/>
        <v>#DIV/0!</v>
      </c>
      <c r="Z455" s="11">
        <f t="shared" si="22"/>
        <v>0.44217687074829931</v>
      </c>
      <c r="AA455" s="19">
        <f t="shared" si="23"/>
        <v>82000</v>
      </c>
    </row>
    <row r="456" spans="2:27" x14ac:dyDescent="0.45">
      <c r="B456" s="7">
        <v>1491</v>
      </c>
      <c r="C456" s="1" t="s">
        <v>76</v>
      </c>
      <c r="D456" s="1" t="s">
        <v>964</v>
      </c>
      <c r="E456" s="1" t="s">
        <v>973</v>
      </c>
      <c r="F456" s="1" t="s">
        <v>974</v>
      </c>
      <c r="G456" s="19">
        <v>5</v>
      </c>
      <c r="H456" s="19">
        <v>28</v>
      </c>
      <c r="I456" s="19">
        <v>30</v>
      </c>
      <c r="J456" s="19">
        <v>25</v>
      </c>
      <c r="K456" s="1" t="s">
        <v>345</v>
      </c>
      <c r="L456" s="2" t="s">
        <v>433</v>
      </c>
      <c r="M456" s="19">
        <v>1996</v>
      </c>
      <c r="N456" s="1" t="s">
        <v>440</v>
      </c>
      <c r="O456" s="19">
        <v>434</v>
      </c>
      <c r="P456" s="1" t="s">
        <v>18</v>
      </c>
      <c r="Q456" s="19">
        <v>3</v>
      </c>
      <c r="R456" s="19">
        <v>2</v>
      </c>
      <c r="S456" s="19">
        <v>33</v>
      </c>
      <c r="T456" s="14">
        <v>119000</v>
      </c>
      <c r="U456" s="14">
        <v>147500</v>
      </c>
      <c r="V456" s="14">
        <v>56000</v>
      </c>
      <c r="W456" s="4">
        <f t="shared" si="21"/>
        <v>0.23949579831932774</v>
      </c>
      <c r="Z456" s="11">
        <f t="shared" si="22"/>
        <v>0.37966101694915255</v>
      </c>
      <c r="AA456" s="19">
        <f t="shared" si="23"/>
        <v>91500</v>
      </c>
    </row>
    <row r="457" spans="2:27" x14ac:dyDescent="0.45">
      <c r="B457" s="7">
        <v>1329</v>
      </c>
      <c r="C457" s="1" t="s">
        <v>0</v>
      </c>
      <c r="D457" s="1" t="s">
        <v>899</v>
      </c>
      <c r="E457" s="1" t="s">
        <v>921</v>
      </c>
      <c r="F457" s="1" t="s">
        <v>924</v>
      </c>
      <c r="G457" s="19">
        <v>5</v>
      </c>
      <c r="H457" s="19">
        <v>50</v>
      </c>
      <c r="I457" s="19">
        <v>22</v>
      </c>
      <c r="J457" s="19">
        <v>32</v>
      </c>
      <c r="K457" s="1" t="s">
        <v>926</v>
      </c>
      <c r="L457" s="2" t="s">
        <v>439</v>
      </c>
      <c r="M457" s="19">
        <v>2015</v>
      </c>
      <c r="N457" s="1" t="s">
        <v>434</v>
      </c>
      <c r="O457" s="19">
        <v>4300</v>
      </c>
      <c r="P457" s="1" t="s">
        <v>18</v>
      </c>
      <c r="Q457" s="19">
        <v>3</v>
      </c>
      <c r="R457" s="19">
        <v>2</v>
      </c>
      <c r="S457" s="19">
        <v>33</v>
      </c>
      <c r="T457" s="14">
        <v>154000</v>
      </c>
      <c r="U457" s="14">
        <v>148000</v>
      </c>
      <c r="V457" s="14">
        <v>78000</v>
      </c>
      <c r="W457" s="4">
        <f t="shared" si="21"/>
        <v>-3.896103896103896E-2</v>
      </c>
      <c r="Z457" s="11">
        <f t="shared" si="22"/>
        <v>0.52702702702702697</v>
      </c>
      <c r="AA457" s="19">
        <f t="shared" si="23"/>
        <v>70000</v>
      </c>
    </row>
    <row r="458" spans="2:27" x14ac:dyDescent="0.45">
      <c r="B458" s="7">
        <v>1575</v>
      </c>
      <c r="C458" s="1" t="s">
        <v>8</v>
      </c>
      <c r="D458" s="1" t="s">
        <v>964</v>
      </c>
      <c r="E458" s="1" t="s">
        <v>992</v>
      </c>
      <c r="F458" s="1" t="s">
        <v>975</v>
      </c>
      <c r="G458" s="19">
        <v>4</v>
      </c>
      <c r="H458" s="19">
        <v>32</v>
      </c>
      <c r="I458" s="19">
        <v>30</v>
      </c>
      <c r="J458" s="19">
        <v>22</v>
      </c>
      <c r="K458" s="1" t="s">
        <v>74</v>
      </c>
      <c r="L458" s="2" t="s">
        <v>433</v>
      </c>
      <c r="M458" s="19">
        <v>1994</v>
      </c>
      <c r="N458" s="1" t="s">
        <v>434</v>
      </c>
      <c r="O458" s="19">
        <v>1267</v>
      </c>
      <c r="P458" s="1" t="s">
        <v>5</v>
      </c>
      <c r="Q458" s="19">
        <v>3</v>
      </c>
      <c r="R458" s="19">
        <v>1</v>
      </c>
      <c r="S458" s="19">
        <v>29</v>
      </c>
      <c r="T458" s="14">
        <v>133000</v>
      </c>
      <c r="U458" s="14">
        <v>148000</v>
      </c>
      <c r="V458" s="14">
        <v>47000</v>
      </c>
      <c r="W458" s="4">
        <f t="shared" si="21"/>
        <v>0.11278195488721804</v>
      </c>
      <c r="Z458" s="11">
        <f t="shared" si="22"/>
        <v>0.31756756756756754</v>
      </c>
      <c r="AA458" s="19">
        <f t="shared" si="23"/>
        <v>101000</v>
      </c>
    </row>
    <row r="459" spans="2:27" x14ac:dyDescent="0.45">
      <c r="B459" s="7">
        <v>1961</v>
      </c>
      <c r="C459" s="1" t="s">
        <v>143</v>
      </c>
      <c r="D459" s="1" t="s">
        <v>1077</v>
      </c>
      <c r="E459" s="1" t="s">
        <v>1105</v>
      </c>
      <c r="F459" s="1" t="s">
        <v>1098</v>
      </c>
      <c r="G459" s="19">
        <v>5</v>
      </c>
      <c r="H459" s="19">
        <v>45</v>
      </c>
      <c r="I459" s="19">
        <v>25</v>
      </c>
      <c r="J459" s="19">
        <v>32</v>
      </c>
      <c r="K459" s="1" t="s">
        <v>186</v>
      </c>
      <c r="L459" s="2" t="s">
        <v>439</v>
      </c>
      <c r="M459" s="19">
        <v>2004</v>
      </c>
      <c r="N459" s="1" t="s">
        <v>440</v>
      </c>
      <c r="O459" s="19">
        <v>371</v>
      </c>
      <c r="P459" s="1" t="s">
        <v>18</v>
      </c>
      <c r="Q459" s="19">
        <v>3</v>
      </c>
      <c r="R459" s="19">
        <v>2</v>
      </c>
      <c r="S459" s="19">
        <v>33</v>
      </c>
      <c r="T459" s="14">
        <v>135000</v>
      </c>
      <c r="U459" s="14">
        <v>148000</v>
      </c>
      <c r="V459" s="14">
        <v>75000</v>
      </c>
      <c r="W459" s="4">
        <f t="shared" si="21"/>
        <v>9.6296296296296297E-2</v>
      </c>
      <c r="Z459" s="11">
        <f t="shared" si="22"/>
        <v>0.5067567567567568</v>
      </c>
      <c r="AA459" s="19">
        <f t="shared" si="23"/>
        <v>73000</v>
      </c>
    </row>
    <row r="460" spans="2:27" x14ac:dyDescent="0.45">
      <c r="B460" s="7">
        <v>1977</v>
      </c>
      <c r="C460" s="1" t="s">
        <v>98</v>
      </c>
      <c r="D460" s="1" t="s">
        <v>1107</v>
      </c>
      <c r="E460" s="1" t="s">
        <v>1109</v>
      </c>
      <c r="F460" s="1" t="s">
        <v>1110</v>
      </c>
      <c r="G460" s="19">
        <v>5</v>
      </c>
      <c r="H460" s="19">
        <v>35</v>
      </c>
      <c r="I460" s="19">
        <v>15</v>
      </c>
      <c r="J460" s="19">
        <v>20</v>
      </c>
      <c r="K460" s="1" t="s">
        <v>327</v>
      </c>
      <c r="L460" s="2" t="s">
        <v>439</v>
      </c>
      <c r="M460" s="19">
        <v>2002</v>
      </c>
      <c r="N460" s="1" t="s">
        <v>434</v>
      </c>
      <c r="O460" s="19">
        <v>2462</v>
      </c>
      <c r="P460" s="1" t="s">
        <v>18</v>
      </c>
      <c r="Q460" s="19">
        <v>3</v>
      </c>
      <c r="R460" s="19">
        <v>1</v>
      </c>
      <c r="S460" s="19">
        <v>25</v>
      </c>
      <c r="T460" s="14">
        <v>115800</v>
      </c>
      <c r="U460" s="14">
        <v>148000</v>
      </c>
      <c r="V460" s="14">
        <v>58000</v>
      </c>
      <c r="W460" s="4">
        <f t="shared" si="21"/>
        <v>0.27806563039723664</v>
      </c>
      <c r="Z460" s="11">
        <f t="shared" si="22"/>
        <v>0.39189189189189189</v>
      </c>
      <c r="AA460" s="19">
        <f t="shared" si="23"/>
        <v>90000</v>
      </c>
    </row>
    <row r="461" spans="2:27" x14ac:dyDescent="0.45">
      <c r="B461" s="7">
        <v>2271</v>
      </c>
      <c r="C461" s="1" t="s">
        <v>44</v>
      </c>
      <c r="D461" s="1" t="s">
        <v>1182</v>
      </c>
      <c r="E461" s="1" t="s">
        <v>1191</v>
      </c>
      <c r="F461" s="1" t="s">
        <v>1190</v>
      </c>
      <c r="G461" s="19">
        <v>5</v>
      </c>
      <c r="H461" s="19">
        <v>45</v>
      </c>
      <c r="I461" s="19">
        <v>35</v>
      </c>
      <c r="J461" s="19">
        <v>12</v>
      </c>
      <c r="K461" s="1" t="s">
        <v>194</v>
      </c>
      <c r="L461" s="2" t="s">
        <v>439</v>
      </c>
      <c r="M461" s="19">
        <v>2000</v>
      </c>
      <c r="N461" s="1" t="s">
        <v>447</v>
      </c>
      <c r="O461" s="19">
        <v>964</v>
      </c>
      <c r="P461" s="1" t="s">
        <v>18</v>
      </c>
      <c r="Q461" s="19">
        <v>3</v>
      </c>
      <c r="R461" s="19">
        <v>2</v>
      </c>
      <c r="S461" s="19">
        <v>33</v>
      </c>
      <c r="T461" s="14">
        <v>137900</v>
      </c>
      <c r="U461" s="14">
        <v>148000</v>
      </c>
      <c r="V461" s="14">
        <v>68000</v>
      </c>
      <c r="W461" s="4">
        <f t="shared" si="21"/>
        <v>7.3241479332849885E-2</v>
      </c>
      <c r="Z461" s="11">
        <f t="shared" si="22"/>
        <v>0.45945945945945948</v>
      </c>
      <c r="AA461" s="19">
        <f t="shared" si="23"/>
        <v>80000</v>
      </c>
    </row>
    <row r="462" spans="2:27" x14ac:dyDescent="0.45">
      <c r="B462" s="7">
        <v>222</v>
      </c>
      <c r="C462" s="1" t="s">
        <v>6</v>
      </c>
      <c r="D462" s="1" t="s">
        <v>508</v>
      </c>
      <c r="E462" s="1" t="s">
        <v>515</v>
      </c>
      <c r="F462" s="1" t="s">
        <v>516</v>
      </c>
      <c r="G462" s="19">
        <v>6</v>
      </c>
      <c r="H462" s="19">
        <v>32</v>
      </c>
      <c r="I462" s="19">
        <v>44</v>
      </c>
      <c r="J462" s="19">
        <v>48</v>
      </c>
      <c r="K462" s="1" t="s">
        <v>269</v>
      </c>
      <c r="L462" s="2" t="s">
        <v>453</v>
      </c>
      <c r="M462" s="19">
        <v>2016</v>
      </c>
      <c r="N462" s="1" t="s">
        <v>440</v>
      </c>
      <c r="O462" s="19">
        <v>482</v>
      </c>
      <c r="P462" s="1" t="s">
        <v>18</v>
      </c>
      <c r="Q462" s="19">
        <v>3</v>
      </c>
      <c r="R462" s="19">
        <v>2</v>
      </c>
      <c r="S462" s="19">
        <v>25</v>
      </c>
      <c r="T462" s="14">
        <v>136000</v>
      </c>
      <c r="U462" s="14">
        <v>149000</v>
      </c>
      <c r="V462" s="14">
        <v>71000</v>
      </c>
      <c r="W462" s="4">
        <f t="shared" si="21"/>
        <v>9.5588235294117641E-2</v>
      </c>
      <c r="Z462" s="11">
        <f t="shared" si="22"/>
        <v>0.47651006711409394</v>
      </c>
      <c r="AA462" s="19">
        <f t="shared" si="23"/>
        <v>78000</v>
      </c>
    </row>
    <row r="463" spans="2:27" x14ac:dyDescent="0.45">
      <c r="B463" s="7">
        <v>223</v>
      </c>
      <c r="C463" s="1" t="s">
        <v>6</v>
      </c>
      <c r="D463" s="1" t="s">
        <v>508</v>
      </c>
      <c r="E463" s="1" t="s">
        <v>517</v>
      </c>
      <c r="F463" s="1" t="s">
        <v>516</v>
      </c>
      <c r="G463" s="19">
        <v>8</v>
      </c>
      <c r="H463" s="19">
        <v>30</v>
      </c>
      <c r="I463" s="19">
        <v>42</v>
      </c>
      <c r="J463" s="19">
        <v>46</v>
      </c>
      <c r="K463" s="1" t="s">
        <v>268</v>
      </c>
      <c r="L463" s="2" t="s">
        <v>433</v>
      </c>
      <c r="M463" s="19">
        <v>1999</v>
      </c>
      <c r="N463" s="1" t="s">
        <v>434</v>
      </c>
      <c r="O463" s="19">
        <v>1220</v>
      </c>
      <c r="P463" s="1" t="s">
        <v>18</v>
      </c>
      <c r="Q463" s="19">
        <v>3</v>
      </c>
      <c r="R463" s="19">
        <v>2</v>
      </c>
      <c r="S463" s="19">
        <v>33</v>
      </c>
      <c r="T463" s="14">
        <v>145000</v>
      </c>
      <c r="U463" s="14">
        <v>149000</v>
      </c>
      <c r="V463" s="14">
        <v>67000</v>
      </c>
      <c r="W463" s="4">
        <f t="shared" si="21"/>
        <v>2.7586206896551724E-2</v>
      </c>
      <c r="Z463" s="11">
        <f t="shared" si="22"/>
        <v>0.44966442953020136</v>
      </c>
      <c r="AA463" s="19">
        <f t="shared" si="23"/>
        <v>82000</v>
      </c>
    </row>
    <row r="464" spans="2:27" x14ac:dyDescent="0.45">
      <c r="B464" s="7">
        <v>1022</v>
      </c>
      <c r="C464" s="1" t="s">
        <v>14</v>
      </c>
      <c r="D464" s="1" t="s">
        <v>816</v>
      </c>
      <c r="E464" s="1" t="s">
        <v>845</v>
      </c>
      <c r="F464" s="1" t="s">
        <v>844</v>
      </c>
      <c r="G464" s="19">
        <v>6</v>
      </c>
      <c r="H464" s="19">
        <v>22</v>
      </c>
      <c r="I464" s="19">
        <v>28</v>
      </c>
      <c r="J464" s="19">
        <v>35</v>
      </c>
      <c r="K464" s="2" t="s">
        <v>250</v>
      </c>
      <c r="L464" s="2" t="s">
        <v>439</v>
      </c>
      <c r="M464" s="19">
        <v>2001</v>
      </c>
      <c r="N464" s="1" t="s">
        <v>434</v>
      </c>
      <c r="O464" s="19">
        <v>1696</v>
      </c>
      <c r="P464" s="1" t="s">
        <v>18</v>
      </c>
      <c r="Q464" s="19">
        <v>3</v>
      </c>
      <c r="R464" s="19">
        <v>2</v>
      </c>
      <c r="S464" s="19">
        <v>33</v>
      </c>
      <c r="T464" s="14">
        <v>126800</v>
      </c>
      <c r="U464" s="14">
        <v>149000</v>
      </c>
      <c r="V464" s="14">
        <v>67000</v>
      </c>
      <c r="W464" s="4">
        <f t="shared" si="21"/>
        <v>0.1750788643533123</v>
      </c>
      <c r="Z464" s="11">
        <f t="shared" si="22"/>
        <v>0.44966442953020136</v>
      </c>
      <c r="AA464" s="19">
        <f t="shared" si="23"/>
        <v>82000</v>
      </c>
    </row>
    <row r="465" spans="2:27" x14ac:dyDescent="0.45">
      <c r="B465" s="7">
        <v>2302</v>
      </c>
      <c r="C465" s="1" t="s">
        <v>84</v>
      </c>
      <c r="D465" s="1" t="s">
        <v>1194</v>
      </c>
      <c r="E465" s="1" t="s">
        <v>1202</v>
      </c>
      <c r="F465" s="1" t="s">
        <v>1203</v>
      </c>
      <c r="G465" s="19">
        <v>5</v>
      </c>
      <c r="H465" s="19">
        <v>25</v>
      </c>
      <c r="I465" s="19">
        <v>40</v>
      </c>
      <c r="J465" s="19">
        <v>20</v>
      </c>
      <c r="K465" s="2" t="s">
        <v>85</v>
      </c>
      <c r="L465" s="2" t="s">
        <v>439</v>
      </c>
      <c r="M465" s="19">
        <v>2002</v>
      </c>
      <c r="N465" s="1" t="s">
        <v>434</v>
      </c>
      <c r="O465" s="19">
        <v>5150</v>
      </c>
      <c r="P465" s="1" t="s">
        <v>5</v>
      </c>
      <c r="Q465" s="19">
        <v>3</v>
      </c>
      <c r="R465" s="19">
        <v>1</v>
      </c>
      <c r="S465" s="19">
        <v>25</v>
      </c>
      <c r="T465" s="14">
        <v>0</v>
      </c>
      <c r="U465" s="14">
        <v>149500</v>
      </c>
      <c r="V465" s="14">
        <v>55000</v>
      </c>
      <c r="W465" s="4" t="e">
        <f t="shared" si="21"/>
        <v>#DIV/0!</v>
      </c>
      <c r="Z465" s="11">
        <f t="shared" si="22"/>
        <v>0.36789297658862874</v>
      </c>
      <c r="AA465" s="19">
        <f t="shared" si="23"/>
        <v>94500</v>
      </c>
    </row>
    <row r="466" spans="2:27" x14ac:dyDescent="0.45">
      <c r="B466" s="7">
        <v>28</v>
      </c>
      <c r="C466" s="1" t="s">
        <v>435</v>
      </c>
      <c r="D466" s="1" t="s">
        <v>436</v>
      </c>
      <c r="E466" s="1" t="s">
        <v>450</v>
      </c>
      <c r="F466" s="1" t="s">
        <v>451</v>
      </c>
      <c r="G466" s="19">
        <v>3</v>
      </c>
      <c r="H466" s="19">
        <v>28</v>
      </c>
      <c r="I466" s="19">
        <v>45</v>
      </c>
      <c r="J466" s="19">
        <v>50</v>
      </c>
      <c r="K466" s="2" t="s">
        <v>360</v>
      </c>
      <c r="L466" s="2" t="s">
        <v>433</v>
      </c>
      <c r="M466" s="19">
        <v>1993</v>
      </c>
      <c r="N466" s="1" t="s">
        <v>434</v>
      </c>
      <c r="O466" s="19">
        <v>1404</v>
      </c>
      <c r="P466" s="1" t="s">
        <v>5</v>
      </c>
      <c r="Q466" s="19">
        <v>2</v>
      </c>
      <c r="R466" s="19">
        <v>1</v>
      </c>
      <c r="S466" s="19">
        <v>14</v>
      </c>
      <c r="T466" s="14">
        <v>108500</v>
      </c>
      <c r="U466" s="14">
        <v>150000</v>
      </c>
      <c r="V466" s="14">
        <v>35000</v>
      </c>
      <c r="W466" s="4">
        <f t="shared" si="21"/>
        <v>0.38248847926267282</v>
      </c>
      <c r="Z466" s="11">
        <f t="shared" si="22"/>
        <v>0.23333333333333334</v>
      </c>
      <c r="AA466" s="19">
        <f t="shared" si="23"/>
        <v>115000</v>
      </c>
    </row>
    <row r="467" spans="2:27" x14ac:dyDescent="0.45">
      <c r="B467" s="7">
        <v>829</v>
      </c>
      <c r="C467" s="1" t="s">
        <v>20</v>
      </c>
      <c r="D467" s="1" t="s">
        <v>781</v>
      </c>
      <c r="E467" s="1" t="s">
        <v>787</v>
      </c>
      <c r="F467" s="1" t="s">
        <v>786</v>
      </c>
      <c r="G467" s="19">
        <v>7</v>
      </c>
      <c r="H467" s="19">
        <v>45</v>
      </c>
      <c r="I467" s="19">
        <v>38</v>
      </c>
      <c r="J467" s="19">
        <v>35</v>
      </c>
      <c r="K467" s="1" t="s">
        <v>420</v>
      </c>
      <c r="L467" s="2" t="s">
        <v>453</v>
      </c>
      <c r="M467" s="19">
        <v>2025</v>
      </c>
      <c r="N467" s="1" t="s">
        <v>434</v>
      </c>
      <c r="O467" s="19">
        <v>1806</v>
      </c>
      <c r="P467" s="1" t="s">
        <v>18</v>
      </c>
      <c r="Q467" s="19">
        <v>3</v>
      </c>
      <c r="R467" s="19">
        <v>2</v>
      </c>
      <c r="S467" s="19">
        <v>33</v>
      </c>
      <c r="T467" s="14">
        <v>0</v>
      </c>
      <c r="U467" s="14">
        <v>150000</v>
      </c>
      <c r="V467" s="14">
        <v>77000</v>
      </c>
      <c r="W467" s="4" t="e">
        <f t="shared" si="21"/>
        <v>#DIV/0!</v>
      </c>
      <c r="Z467" s="11">
        <f t="shared" si="22"/>
        <v>0.51333333333333331</v>
      </c>
      <c r="AA467" s="19">
        <f t="shared" si="23"/>
        <v>73000</v>
      </c>
    </row>
    <row r="468" spans="2:27" x14ac:dyDescent="0.45">
      <c r="B468" s="7">
        <v>841</v>
      </c>
      <c r="C468" s="1" t="s">
        <v>20</v>
      </c>
      <c r="D468" s="1" t="s">
        <v>781</v>
      </c>
      <c r="E468" s="1" t="s">
        <v>789</v>
      </c>
      <c r="F468" s="1" t="s">
        <v>785</v>
      </c>
      <c r="G468" s="19">
        <v>4</v>
      </c>
      <c r="H468" s="19">
        <v>45</v>
      </c>
      <c r="I468" s="19">
        <v>38</v>
      </c>
      <c r="J468" s="19">
        <v>35</v>
      </c>
      <c r="K468" s="1" t="s">
        <v>418</v>
      </c>
      <c r="L468" s="2" t="s">
        <v>453</v>
      </c>
      <c r="M468" s="19">
        <v>2019</v>
      </c>
      <c r="N468" s="1" t="s">
        <v>447</v>
      </c>
      <c r="O468" s="19">
        <v>900</v>
      </c>
      <c r="P468" s="1" t="s">
        <v>18</v>
      </c>
      <c r="Q468" s="19">
        <v>3</v>
      </c>
      <c r="R468" s="19">
        <v>2</v>
      </c>
      <c r="S468" s="19">
        <v>33</v>
      </c>
      <c r="T468" s="14">
        <v>135000</v>
      </c>
      <c r="U468" s="14">
        <v>150000</v>
      </c>
      <c r="V468" s="14">
        <v>70000</v>
      </c>
      <c r="W468" s="4">
        <f t="shared" si="21"/>
        <v>0.1111111111111111</v>
      </c>
      <c r="Z468" s="11">
        <f t="shared" si="22"/>
        <v>0.46666666666666667</v>
      </c>
      <c r="AA468" s="19">
        <f t="shared" si="23"/>
        <v>80000</v>
      </c>
    </row>
    <row r="469" spans="2:27" x14ac:dyDescent="0.45">
      <c r="B469" s="7">
        <v>897</v>
      </c>
      <c r="C469" s="1" t="s">
        <v>20</v>
      </c>
      <c r="D469" s="1" t="s">
        <v>781</v>
      </c>
      <c r="E469" s="1" t="s">
        <v>808</v>
      </c>
      <c r="F469" s="1" t="s">
        <v>794</v>
      </c>
      <c r="G469" s="19">
        <v>6</v>
      </c>
      <c r="H469" s="19">
        <v>34</v>
      </c>
      <c r="I469" s="19">
        <v>31</v>
      </c>
      <c r="J469" s="19">
        <v>24</v>
      </c>
      <c r="K469" s="1" t="s">
        <v>809</v>
      </c>
      <c r="L469" s="2" t="s">
        <v>439</v>
      </c>
      <c r="M469" s="19">
        <v>2011</v>
      </c>
      <c r="N469" s="1" t="s">
        <v>447</v>
      </c>
      <c r="O469" s="19">
        <v>844</v>
      </c>
      <c r="P469" s="1" t="s">
        <v>18</v>
      </c>
      <c r="Q469" s="19">
        <v>3</v>
      </c>
      <c r="R469" s="19">
        <v>2</v>
      </c>
      <c r="S469" s="19">
        <v>33</v>
      </c>
      <c r="T469" s="14">
        <v>139000</v>
      </c>
      <c r="U469" s="14">
        <v>150000</v>
      </c>
      <c r="V469" s="14">
        <v>69000</v>
      </c>
      <c r="W469" s="4">
        <f t="shared" si="21"/>
        <v>7.9136690647482008E-2</v>
      </c>
      <c r="Z469" s="11">
        <f t="shared" si="22"/>
        <v>0.46</v>
      </c>
      <c r="AA469" s="19">
        <f t="shared" si="23"/>
        <v>81000</v>
      </c>
    </row>
    <row r="470" spans="2:27" x14ac:dyDescent="0.45">
      <c r="B470" s="7">
        <v>1295</v>
      </c>
      <c r="C470" s="1" t="s">
        <v>2</v>
      </c>
      <c r="D470" s="1" t="s">
        <v>899</v>
      </c>
      <c r="E470" s="1" t="s">
        <v>913</v>
      </c>
      <c r="F470" s="1" t="s">
        <v>903</v>
      </c>
      <c r="G470" s="19">
        <v>4</v>
      </c>
      <c r="H470" s="19">
        <v>42</v>
      </c>
      <c r="I470" s="19">
        <v>28</v>
      </c>
      <c r="J470" s="19">
        <v>12</v>
      </c>
      <c r="K470" s="1" t="s">
        <v>257</v>
      </c>
      <c r="L470" s="2" t="s">
        <v>453</v>
      </c>
      <c r="M470" s="19">
        <v>2022</v>
      </c>
      <c r="N470" s="1" t="s">
        <v>447</v>
      </c>
      <c r="O470" s="19">
        <v>832</v>
      </c>
      <c r="P470" s="1" t="s">
        <v>18</v>
      </c>
      <c r="Q470" s="19">
        <v>3</v>
      </c>
      <c r="R470" s="19">
        <v>2</v>
      </c>
      <c r="S470" s="19">
        <v>25</v>
      </c>
      <c r="T470" s="14">
        <v>0</v>
      </c>
      <c r="U470" s="14">
        <v>150000</v>
      </c>
      <c r="V470" s="14">
        <v>75000</v>
      </c>
      <c r="W470" s="4" t="e">
        <f t="shared" si="21"/>
        <v>#DIV/0!</v>
      </c>
      <c r="Z470" s="11">
        <f t="shared" si="22"/>
        <v>0.5</v>
      </c>
      <c r="AA470" s="19">
        <f t="shared" si="23"/>
        <v>75000</v>
      </c>
    </row>
    <row r="471" spans="2:27" x14ac:dyDescent="0.45">
      <c r="B471" s="7">
        <v>1738</v>
      </c>
      <c r="C471" s="1" t="s">
        <v>1037</v>
      </c>
      <c r="D471" s="1" t="s">
        <v>1032</v>
      </c>
      <c r="E471" s="1" t="s">
        <v>1038</v>
      </c>
      <c r="F471" s="1" t="s">
        <v>1039</v>
      </c>
      <c r="G471" s="19">
        <v>3</v>
      </c>
      <c r="H471" s="19">
        <v>40</v>
      </c>
      <c r="I471" s="19">
        <v>38</v>
      </c>
      <c r="J471" s="19">
        <v>42</v>
      </c>
      <c r="K471" s="2" t="s">
        <v>408</v>
      </c>
      <c r="L471" s="2" t="s">
        <v>433</v>
      </c>
      <c r="M471" s="19">
        <v>1999</v>
      </c>
      <c r="N471" s="1" t="s">
        <v>440</v>
      </c>
      <c r="O471" s="19">
        <v>384</v>
      </c>
      <c r="P471" s="1" t="s">
        <v>18</v>
      </c>
      <c r="Q471" s="19">
        <v>3</v>
      </c>
      <c r="R471" s="19">
        <v>2</v>
      </c>
      <c r="S471" s="19">
        <v>32</v>
      </c>
      <c r="T471" s="14">
        <v>138000</v>
      </c>
      <c r="U471" s="14">
        <v>150000</v>
      </c>
      <c r="V471" s="14">
        <v>60000</v>
      </c>
      <c r="W471" s="4">
        <f t="shared" si="21"/>
        <v>8.6956521739130432E-2</v>
      </c>
      <c r="Z471" s="11">
        <f t="shared" si="22"/>
        <v>0.4</v>
      </c>
      <c r="AA471" s="19">
        <f t="shared" si="23"/>
        <v>90000</v>
      </c>
    </row>
    <row r="472" spans="2:27" x14ac:dyDescent="0.45">
      <c r="B472" s="7">
        <v>1979</v>
      </c>
      <c r="C472" s="1" t="s">
        <v>11</v>
      </c>
      <c r="D472" s="1" t="s">
        <v>1107</v>
      </c>
      <c r="E472" s="1" t="s">
        <v>1111</v>
      </c>
      <c r="F472" s="1" t="s">
        <v>1112</v>
      </c>
      <c r="G472" s="19">
        <v>6</v>
      </c>
      <c r="H472" s="19">
        <v>40</v>
      </c>
      <c r="I472" s="19">
        <v>12</v>
      </c>
      <c r="J472" s="19">
        <v>20</v>
      </c>
      <c r="K472" s="1" t="s">
        <v>326</v>
      </c>
      <c r="L472" s="2" t="s">
        <v>453</v>
      </c>
      <c r="M472" s="19">
        <v>2021</v>
      </c>
      <c r="N472" s="1" t="s">
        <v>440</v>
      </c>
      <c r="O472" s="19">
        <v>308</v>
      </c>
      <c r="P472" s="1" t="s">
        <v>18</v>
      </c>
      <c r="Q472" s="19">
        <v>3</v>
      </c>
      <c r="R472" s="19">
        <v>2</v>
      </c>
      <c r="S472" s="19">
        <v>25</v>
      </c>
      <c r="T472" s="14">
        <v>110000</v>
      </c>
      <c r="U472" s="14">
        <v>150000</v>
      </c>
      <c r="V472" s="14">
        <v>70000</v>
      </c>
      <c r="W472" s="4">
        <f t="shared" si="21"/>
        <v>0.36363636363636365</v>
      </c>
      <c r="Z472" s="11">
        <f t="shared" si="22"/>
        <v>0.46666666666666667</v>
      </c>
      <c r="AA472" s="19">
        <f t="shared" si="23"/>
        <v>80000</v>
      </c>
    </row>
    <row r="473" spans="2:27" x14ac:dyDescent="0.45">
      <c r="B473" s="7">
        <v>2026</v>
      </c>
      <c r="C473" s="1" t="s">
        <v>98</v>
      </c>
      <c r="D473" s="1" t="s">
        <v>1107</v>
      </c>
      <c r="E473" s="1" t="s">
        <v>1129</v>
      </c>
      <c r="F473" s="1" t="s">
        <v>1116</v>
      </c>
      <c r="G473" s="19">
        <v>5</v>
      </c>
      <c r="H473" s="19">
        <v>35</v>
      </c>
      <c r="I473" s="19">
        <v>10</v>
      </c>
      <c r="J473" s="19">
        <v>22</v>
      </c>
      <c r="K473" s="1" t="s">
        <v>140</v>
      </c>
      <c r="L473" s="2" t="s">
        <v>433</v>
      </c>
      <c r="M473" s="19">
        <v>1995</v>
      </c>
      <c r="N473" s="1" t="s">
        <v>440</v>
      </c>
      <c r="O473" s="19">
        <v>348</v>
      </c>
      <c r="P473" s="1" t="s">
        <v>18</v>
      </c>
      <c r="Q473" s="19">
        <v>3</v>
      </c>
      <c r="R473" s="19">
        <v>2</v>
      </c>
      <c r="S473" s="19">
        <v>33</v>
      </c>
      <c r="T473" s="14">
        <v>139000</v>
      </c>
      <c r="U473" s="14">
        <v>150000</v>
      </c>
      <c r="V473" s="14">
        <v>70000</v>
      </c>
      <c r="W473" s="4">
        <f t="shared" si="21"/>
        <v>7.9136690647482008E-2</v>
      </c>
      <c r="Z473" s="11">
        <f t="shared" si="22"/>
        <v>0.46666666666666667</v>
      </c>
      <c r="AA473" s="19">
        <f t="shared" si="23"/>
        <v>80000</v>
      </c>
    </row>
    <row r="474" spans="2:27" x14ac:dyDescent="0.45">
      <c r="B474" s="7">
        <v>2029</v>
      </c>
      <c r="C474" s="1" t="s">
        <v>11</v>
      </c>
      <c r="D474" s="1" t="s">
        <v>1107</v>
      </c>
      <c r="E474" s="1" t="s">
        <v>1130</v>
      </c>
      <c r="F474" s="1" t="s">
        <v>1131</v>
      </c>
      <c r="G474" s="19">
        <v>6</v>
      </c>
      <c r="H474" s="19">
        <v>38</v>
      </c>
      <c r="I474" s="19">
        <v>12</v>
      </c>
      <c r="J474" s="19">
        <v>25</v>
      </c>
      <c r="K474" s="1" t="s">
        <v>112</v>
      </c>
      <c r="L474" s="2" t="s">
        <v>453</v>
      </c>
      <c r="M474" s="19">
        <v>2022</v>
      </c>
      <c r="N474" s="1" t="s">
        <v>447</v>
      </c>
      <c r="O474" s="19">
        <v>799</v>
      </c>
      <c r="P474" s="1" t="s">
        <v>18</v>
      </c>
      <c r="Q474" s="19">
        <v>3</v>
      </c>
      <c r="R474" s="19">
        <v>2</v>
      </c>
      <c r="S474" s="19">
        <v>25</v>
      </c>
      <c r="T474" s="14">
        <v>0</v>
      </c>
      <c r="U474" s="14">
        <v>150000</v>
      </c>
      <c r="V474" s="14">
        <v>68000</v>
      </c>
      <c r="W474" s="4" t="e">
        <f t="shared" si="21"/>
        <v>#DIV/0!</v>
      </c>
      <c r="Z474" s="11">
        <f t="shared" si="22"/>
        <v>0.45333333333333331</v>
      </c>
      <c r="AA474" s="19">
        <f t="shared" si="23"/>
        <v>82000</v>
      </c>
    </row>
    <row r="475" spans="2:27" x14ac:dyDescent="0.45">
      <c r="B475" s="7">
        <v>2132</v>
      </c>
      <c r="C475" s="1" t="s">
        <v>92</v>
      </c>
      <c r="D475" s="1" t="s">
        <v>1150</v>
      </c>
      <c r="E475" s="1" t="s">
        <v>1157</v>
      </c>
      <c r="F475" s="1" t="s">
        <v>1156</v>
      </c>
      <c r="G475" s="19">
        <v>3</v>
      </c>
      <c r="H475" s="19">
        <v>50</v>
      </c>
      <c r="I475" s="19">
        <v>20</v>
      </c>
      <c r="J475" s="19">
        <v>30</v>
      </c>
      <c r="K475" s="2" t="s">
        <v>390</v>
      </c>
      <c r="L475" s="2" t="s">
        <v>453</v>
      </c>
      <c r="M475" s="19">
        <v>2023</v>
      </c>
      <c r="N475" s="1" t="s">
        <v>434</v>
      </c>
      <c r="O475" s="19">
        <v>1256</v>
      </c>
      <c r="P475" s="1" t="s">
        <v>18</v>
      </c>
      <c r="Q475" s="19">
        <v>3</v>
      </c>
      <c r="R475" s="19">
        <v>2</v>
      </c>
      <c r="S475" s="19">
        <v>24</v>
      </c>
      <c r="T475" s="14">
        <v>130285</v>
      </c>
      <c r="U475" s="14">
        <v>150000</v>
      </c>
      <c r="V475" s="14">
        <v>69000</v>
      </c>
      <c r="W475" s="4">
        <f t="shared" si="21"/>
        <v>0.15132210154660936</v>
      </c>
      <c r="Z475" s="11">
        <f t="shared" si="22"/>
        <v>0.46</v>
      </c>
      <c r="AA475" s="19">
        <f t="shared" si="23"/>
        <v>81000</v>
      </c>
    </row>
    <row r="476" spans="2:27" x14ac:dyDescent="0.45">
      <c r="B476" s="7">
        <v>2283</v>
      </c>
      <c r="C476" s="1" t="s">
        <v>84</v>
      </c>
      <c r="D476" s="1" t="s">
        <v>1194</v>
      </c>
      <c r="E476" s="1" t="s">
        <v>1197</v>
      </c>
      <c r="F476" s="1" t="s">
        <v>1198</v>
      </c>
      <c r="G476" s="19">
        <v>5</v>
      </c>
      <c r="H476" s="19">
        <v>45</v>
      </c>
      <c r="I476" s="19">
        <v>20</v>
      </c>
      <c r="J476" s="19">
        <v>10</v>
      </c>
      <c r="K476" s="1" t="s">
        <v>387</v>
      </c>
      <c r="L476" s="2" t="s">
        <v>439</v>
      </c>
      <c r="M476" s="19">
        <v>2001</v>
      </c>
      <c r="N476" s="1" t="s">
        <v>447</v>
      </c>
      <c r="O476" s="19">
        <v>712</v>
      </c>
      <c r="P476" s="1" t="s">
        <v>18</v>
      </c>
      <c r="Q476" s="19">
        <v>3</v>
      </c>
      <c r="R476" s="19">
        <v>1</v>
      </c>
      <c r="S476" s="19">
        <v>25</v>
      </c>
      <c r="T476" s="14">
        <v>125000</v>
      </c>
      <c r="U476" s="14">
        <v>150000</v>
      </c>
      <c r="V476" s="14">
        <v>67000</v>
      </c>
      <c r="W476" s="4">
        <f t="shared" si="21"/>
        <v>0.2</v>
      </c>
      <c r="Z476" s="11">
        <f t="shared" si="22"/>
        <v>0.44666666666666666</v>
      </c>
      <c r="AA476" s="19">
        <f t="shared" si="23"/>
        <v>83000</v>
      </c>
    </row>
    <row r="477" spans="2:27" x14ac:dyDescent="0.45">
      <c r="B477" s="7">
        <v>2306</v>
      </c>
      <c r="C477" s="5" t="s">
        <v>182</v>
      </c>
      <c r="D477" s="5" t="s">
        <v>1204</v>
      </c>
      <c r="E477" s="1" t="s">
        <v>1205</v>
      </c>
      <c r="F477" s="1" t="s">
        <v>1206</v>
      </c>
      <c r="G477" s="19">
        <v>5</v>
      </c>
      <c r="H477" s="19">
        <v>50</v>
      </c>
      <c r="I477" s="19">
        <v>55</v>
      </c>
      <c r="J477" s="19">
        <v>40</v>
      </c>
      <c r="K477" s="5" t="s">
        <v>389</v>
      </c>
      <c r="L477" s="2" t="s">
        <v>453</v>
      </c>
      <c r="M477" s="18">
        <v>2025</v>
      </c>
      <c r="N477" s="1" t="s">
        <v>434</v>
      </c>
      <c r="O477" s="18">
        <v>1055</v>
      </c>
      <c r="P477" s="5" t="s">
        <v>18</v>
      </c>
      <c r="Q477" s="18">
        <v>3</v>
      </c>
      <c r="R477" s="18">
        <v>2</v>
      </c>
      <c r="S477" s="18">
        <v>33</v>
      </c>
      <c r="T477" s="14">
        <v>0</v>
      </c>
      <c r="U477" s="14">
        <v>150000</v>
      </c>
      <c r="V477" s="14">
        <v>75000</v>
      </c>
      <c r="W477" s="4" t="e">
        <f t="shared" si="21"/>
        <v>#DIV/0!</v>
      </c>
      <c r="Z477" s="11">
        <f t="shared" si="22"/>
        <v>0.5</v>
      </c>
      <c r="AA477" s="19">
        <f t="shared" si="23"/>
        <v>75000</v>
      </c>
    </row>
    <row r="478" spans="2:27" x14ac:dyDescent="0.45">
      <c r="B478" s="7">
        <v>478</v>
      </c>
      <c r="C478" s="1" t="s">
        <v>166</v>
      </c>
      <c r="D478" s="1" t="s">
        <v>555</v>
      </c>
      <c r="E478" s="1" t="s">
        <v>585</v>
      </c>
      <c r="F478" s="1" t="s">
        <v>579</v>
      </c>
      <c r="G478" s="19">
        <v>9</v>
      </c>
      <c r="H478" s="19">
        <v>54</v>
      </c>
      <c r="I478" s="19">
        <v>27</v>
      </c>
      <c r="J478" s="19">
        <v>41</v>
      </c>
      <c r="K478" s="2" t="s">
        <v>168</v>
      </c>
      <c r="L478" s="2" t="s">
        <v>439</v>
      </c>
      <c r="M478" s="19">
        <v>2014</v>
      </c>
      <c r="N478" s="1" t="s">
        <v>440</v>
      </c>
      <c r="O478" s="19">
        <v>237</v>
      </c>
      <c r="P478" s="1" t="s">
        <v>18</v>
      </c>
      <c r="Q478" s="19">
        <v>3</v>
      </c>
      <c r="R478" s="19">
        <v>2</v>
      </c>
      <c r="S478" s="19">
        <v>36</v>
      </c>
      <c r="T478" s="14">
        <v>133000</v>
      </c>
      <c r="U478" s="14">
        <v>152000</v>
      </c>
      <c r="V478" s="14">
        <v>80000</v>
      </c>
      <c r="W478" s="4">
        <f t="shared" si="21"/>
        <v>0.14285714285714285</v>
      </c>
      <c r="Z478" s="11">
        <f t="shared" si="22"/>
        <v>0.52631578947368418</v>
      </c>
      <c r="AA478" s="19">
        <f t="shared" si="23"/>
        <v>72000</v>
      </c>
    </row>
    <row r="479" spans="2:27" x14ac:dyDescent="0.45">
      <c r="B479" s="7">
        <v>1015</v>
      </c>
      <c r="C479" s="1" t="s">
        <v>14</v>
      </c>
      <c r="D479" s="1" t="s">
        <v>816</v>
      </c>
      <c r="E479" s="1" t="s">
        <v>841</v>
      </c>
      <c r="F479" s="1" t="s">
        <v>842</v>
      </c>
      <c r="G479" s="19">
        <v>6</v>
      </c>
      <c r="H479" s="19">
        <v>22</v>
      </c>
      <c r="I479" s="19">
        <v>28</v>
      </c>
      <c r="J479" s="19">
        <v>35</v>
      </c>
      <c r="K479" s="2" t="s">
        <v>252</v>
      </c>
      <c r="L479" s="2" t="s">
        <v>439</v>
      </c>
      <c r="M479" s="19">
        <v>2003</v>
      </c>
      <c r="N479" s="1" t="s">
        <v>447</v>
      </c>
      <c r="O479" s="19">
        <v>544</v>
      </c>
      <c r="P479" s="1" t="s">
        <v>18</v>
      </c>
      <c r="Q479" s="19">
        <v>3</v>
      </c>
      <c r="R479" s="19">
        <v>2</v>
      </c>
      <c r="S479" s="19">
        <v>32</v>
      </c>
      <c r="T479" s="14">
        <v>122000</v>
      </c>
      <c r="U479" s="14">
        <v>152000</v>
      </c>
      <c r="V479" s="14">
        <v>73000</v>
      </c>
      <c r="W479" s="4">
        <f t="shared" si="21"/>
        <v>0.24590163934426229</v>
      </c>
      <c r="Z479" s="11">
        <f t="shared" si="22"/>
        <v>0.48026315789473684</v>
      </c>
      <c r="AA479" s="19">
        <f t="shared" si="23"/>
        <v>79000</v>
      </c>
    </row>
    <row r="480" spans="2:27" x14ac:dyDescent="0.45">
      <c r="B480" s="7">
        <v>1975</v>
      </c>
      <c r="C480" s="1" t="s">
        <v>98</v>
      </c>
      <c r="D480" s="1" t="s">
        <v>1107</v>
      </c>
      <c r="E480" s="1" t="s">
        <v>1109</v>
      </c>
      <c r="F480" s="1" t="s">
        <v>1110</v>
      </c>
      <c r="G480" s="19">
        <v>5</v>
      </c>
      <c r="H480" s="19">
        <v>35</v>
      </c>
      <c r="I480" s="19">
        <v>15</v>
      </c>
      <c r="J480" s="19">
        <v>20</v>
      </c>
      <c r="K480" s="1" t="s">
        <v>327</v>
      </c>
      <c r="L480" s="2" t="s">
        <v>439</v>
      </c>
      <c r="M480" s="19">
        <v>2002</v>
      </c>
      <c r="N480" s="1" t="s">
        <v>434</v>
      </c>
      <c r="O480" s="19">
        <v>2462</v>
      </c>
      <c r="P480" s="1" t="s">
        <v>18</v>
      </c>
      <c r="Q480" s="19">
        <v>3</v>
      </c>
      <c r="R480" s="19">
        <v>2</v>
      </c>
      <c r="S480" s="19">
        <v>33</v>
      </c>
      <c r="T480" s="14">
        <v>135500</v>
      </c>
      <c r="U480" s="14">
        <v>152000</v>
      </c>
      <c r="V480" s="14">
        <v>63000</v>
      </c>
      <c r="W480" s="4">
        <f t="shared" si="21"/>
        <v>0.12177121771217712</v>
      </c>
      <c r="Z480" s="11">
        <f t="shared" si="22"/>
        <v>0.41447368421052633</v>
      </c>
      <c r="AA480" s="19">
        <f t="shared" si="23"/>
        <v>89000</v>
      </c>
    </row>
    <row r="481" spans="2:27" x14ac:dyDescent="0.45">
      <c r="B481" s="7">
        <v>1791</v>
      </c>
      <c r="C481" s="1" t="s">
        <v>24</v>
      </c>
      <c r="D481" s="1" t="s">
        <v>1032</v>
      </c>
      <c r="E481" s="1" t="s">
        <v>1055</v>
      </c>
      <c r="F481" s="1" t="s">
        <v>1054</v>
      </c>
      <c r="G481" s="19">
        <v>5</v>
      </c>
      <c r="H481" s="19">
        <v>32</v>
      </c>
      <c r="I481" s="19">
        <v>45</v>
      </c>
      <c r="J481" s="19">
        <v>48</v>
      </c>
      <c r="K481" s="2" t="s">
        <v>1056</v>
      </c>
      <c r="L481" s="2" t="s">
        <v>433</v>
      </c>
      <c r="M481" s="19">
        <v>1997</v>
      </c>
      <c r="N481" s="1" t="s">
        <v>440</v>
      </c>
      <c r="O481" s="19">
        <v>438</v>
      </c>
      <c r="P481" s="1" t="s">
        <v>18</v>
      </c>
      <c r="Q481" s="19">
        <v>3</v>
      </c>
      <c r="R481" s="19">
        <v>2</v>
      </c>
      <c r="S481" s="19">
        <v>32</v>
      </c>
      <c r="T481" s="14">
        <v>125000</v>
      </c>
      <c r="U481" s="14">
        <v>153500</v>
      </c>
      <c r="V481" s="14">
        <v>75000</v>
      </c>
      <c r="W481" s="4">
        <f t="shared" si="21"/>
        <v>0.22800000000000001</v>
      </c>
      <c r="Z481" s="11">
        <f t="shared" si="22"/>
        <v>0.48859934853420195</v>
      </c>
      <c r="AA481" s="19">
        <f t="shared" si="23"/>
        <v>78500</v>
      </c>
    </row>
    <row r="482" spans="2:27" x14ac:dyDescent="0.45">
      <c r="B482" s="7">
        <v>243</v>
      </c>
      <c r="C482" s="1" t="s">
        <v>48</v>
      </c>
      <c r="D482" s="1" t="s">
        <v>508</v>
      </c>
      <c r="E482" s="1" t="s">
        <v>523</v>
      </c>
      <c r="F482" s="1" t="s">
        <v>520</v>
      </c>
      <c r="G482" s="19">
        <v>3</v>
      </c>
      <c r="H482" s="19">
        <v>45</v>
      </c>
      <c r="I482" s="19">
        <v>49</v>
      </c>
      <c r="J482" s="19">
        <v>44</v>
      </c>
      <c r="K482" s="1" t="s">
        <v>150</v>
      </c>
      <c r="L482" s="2" t="s">
        <v>453</v>
      </c>
      <c r="M482" s="19">
        <v>2019</v>
      </c>
      <c r="N482" s="1" t="s">
        <v>434</v>
      </c>
      <c r="O482" s="19">
        <v>1900</v>
      </c>
      <c r="P482" s="1" t="s">
        <v>18</v>
      </c>
      <c r="Q482" s="19">
        <v>2</v>
      </c>
      <c r="R482" s="19">
        <v>1</v>
      </c>
      <c r="S482" s="19">
        <v>21</v>
      </c>
      <c r="T482" s="14">
        <v>120000</v>
      </c>
      <c r="U482" s="14">
        <v>154000</v>
      </c>
      <c r="V482" s="14">
        <v>65000</v>
      </c>
      <c r="W482" s="4">
        <f t="shared" si="21"/>
        <v>0.28333333333333333</v>
      </c>
      <c r="Z482" s="11">
        <f t="shared" si="22"/>
        <v>0.42207792207792205</v>
      </c>
      <c r="AA482" s="19">
        <f t="shared" si="23"/>
        <v>89000</v>
      </c>
    </row>
    <row r="483" spans="2:27" x14ac:dyDescent="0.45">
      <c r="B483" s="7">
        <v>818</v>
      </c>
      <c r="C483" s="1" t="s">
        <v>161</v>
      </c>
      <c r="D483" s="1" t="s">
        <v>781</v>
      </c>
      <c r="E483" s="1" t="s">
        <v>782</v>
      </c>
      <c r="F483" s="1" t="s">
        <v>783</v>
      </c>
      <c r="G483" s="19">
        <v>4</v>
      </c>
      <c r="H483" s="19">
        <v>32</v>
      </c>
      <c r="I483" s="19">
        <v>28</v>
      </c>
      <c r="J483" s="19">
        <v>25</v>
      </c>
      <c r="K483" s="1" t="s">
        <v>784</v>
      </c>
      <c r="L483" s="2" t="s">
        <v>453</v>
      </c>
      <c r="M483" s="19">
        <v>2018</v>
      </c>
      <c r="N483" s="1" t="s">
        <v>447</v>
      </c>
      <c r="O483" s="19">
        <v>764</v>
      </c>
      <c r="P483" s="1" t="s">
        <v>18</v>
      </c>
      <c r="Q483" s="19">
        <v>3</v>
      </c>
      <c r="R483" s="19">
        <v>2</v>
      </c>
      <c r="S483" s="19">
        <v>25</v>
      </c>
      <c r="T483" s="14">
        <v>131500</v>
      </c>
      <c r="U483" s="14">
        <v>154000</v>
      </c>
      <c r="V483" s="14">
        <v>70000</v>
      </c>
      <c r="W483" s="4">
        <f t="shared" si="21"/>
        <v>0.17110266159695817</v>
      </c>
      <c r="Z483" s="11">
        <f t="shared" si="22"/>
        <v>0.45454545454545453</v>
      </c>
      <c r="AA483" s="19">
        <f t="shared" si="23"/>
        <v>84000</v>
      </c>
    </row>
    <row r="484" spans="2:27" x14ac:dyDescent="0.45">
      <c r="B484" s="7">
        <v>913</v>
      </c>
      <c r="C484" s="1" t="s">
        <v>20</v>
      </c>
      <c r="D484" s="1" t="s">
        <v>781</v>
      </c>
      <c r="E484" s="1" t="s">
        <v>811</v>
      </c>
      <c r="F484" s="1" t="s">
        <v>794</v>
      </c>
      <c r="G484" s="19">
        <v>5</v>
      </c>
      <c r="H484" s="19">
        <v>34</v>
      </c>
      <c r="I484" s="19">
        <v>31</v>
      </c>
      <c r="J484" s="19">
        <v>24</v>
      </c>
      <c r="K484" s="1" t="s">
        <v>155</v>
      </c>
      <c r="L484" s="2" t="s">
        <v>453</v>
      </c>
      <c r="M484" s="19">
        <v>2022</v>
      </c>
      <c r="N484" s="1" t="s">
        <v>434</v>
      </c>
      <c r="O484" s="19">
        <v>1048</v>
      </c>
      <c r="P484" s="1" t="s">
        <v>18</v>
      </c>
      <c r="Q484" s="19">
        <v>3</v>
      </c>
      <c r="R484" s="19">
        <v>2</v>
      </c>
      <c r="S484" s="19">
        <v>25</v>
      </c>
      <c r="T484" s="14">
        <v>0</v>
      </c>
      <c r="U484" s="14">
        <v>154000</v>
      </c>
      <c r="V484" s="14">
        <v>75000</v>
      </c>
      <c r="W484" s="4" t="e">
        <f t="shared" si="21"/>
        <v>#DIV/0!</v>
      </c>
      <c r="Z484" s="11">
        <f t="shared" si="22"/>
        <v>0.48701298701298701</v>
      </c>
      <c r="AA484" s="19">
        <f t="shared" si="23"/>
        <v>79000</v>
      </c>
    </row>
    <row r="485" spans="2:27" x14ac:dyDescent="0.45">
      <c r="B485" s="7">
        <v>227</v>
      </c>
      <c r="C485" s="1" t="s">
        <v>6</v>
      </c>
      <c r="D485" s="1" t="s">
        <v>508</v>
      </c>
      <c r="E485" s="1" t="s">
        <v>518</v>
      </c>
      <c r="F485" s="1" t="s">
        <v>509</v>
      </c>
      <c r="G485" s="19">
        <v>3</v>
      </c>
      <c r="H485" s="19">
        <v>46</v>
      </c>
      <c r="I485" s="19">
        <v>50</v>
      </c>
      <c r="J485" s="19">
        <v>44</v>
      </c>
      <c r="K485" s="1" t="s">
        <v>267</v>
      </c>
      <c r="L485" s="2" t="s">
        <v>439</v>
      </c>
      <c r="M485" s="19">
        <v>2000</v>
      </c>
      <c r="N485" s="1" t="s">
        <v>434</v>
      </c>
      <c r="O485" s="19">
        <v>2938</v>
      </c>
      <c r="P485" s="1" t="s">
        <v>5</v>
      </c>
      <c r="Q485" s="19">
        <v>3</v>
      </c>
      <c r="R485" s="19">
        <v>1</v>
      </c>
      <c r="S485" s="19">
        <v>30</v>
      </c>
      <c r="T485" s="14">
        <v>134300</v>
      </c>
      <c r="U485" s="14">
        <v>154500</v>
      </c>
      <c r="V485" s="14">
        <v>50000</v>
      </c>
      <c r="W485" s="4">
        <f t="shared" si="21"/>
        <v>0.15040953090096798</v>
      </c>
      <c r="Z485" s="11">
        <f t="shared" si="22"/>
        <v>0.32362459546925565</v>
      </c>
      <c r="AA485" s="19">
        <f t="shared" si="23"/>
        <v>104500</v>
      </c>
    </row>
    <row r="486" spans="2:27" x14ac:dyDescent="0.45">
      <c r="B486" s="7">
        <v>245</v>
      </c>
      <c r="C486" s="1" t="s">
        <v>510</v>
      </c>
      <c r="D486" s="1" t="s">
        <v>508</v>
      </c>
      <c r="E486" s="1" t="s">
        <v>524</v>
      </c>
      <c r="F486" s="1" t="s">
        <v>525</v>
      </c>
      <c r="G486" s="19">
        <v>10</v>
      </c>
      <c r="H486" s="19">
        <v>35</v>
      </c>
      <c r="I486" s="19">
        <v>38</v>
      </c>
      <c r="J486" s="19">
        <v>35</v>
      </c>
      <c r="K486" s="2" t="s">
        <v>136</v>
      </c>
      <c r="L486" s="2" t="s">
        <v>453</v>
      </c>
      <c r="M486" s="19">
        <v>2017</v>
      </c>
      <c r="N486" s="1" t="s">
        <v>447</v>
      </c>
      <c r="O486" s="19">
        <v>999</v>
      </c>
      <c r="P486" s="1" t="s">
        <v>18</v>
      </c>
      <c r="Q486" s="19">
        <v>3</v>
      </c>
      <c r="R486" s="19">
        <v>1</v>
      </c>
      <c r="S486" s="19">
        <v>25</v>
      </c>
      <c r="T486" s="14">
        <v>149500</v>
      </c>
      <c r="U486" s="14">
        <v>154500</v>
      </c>
      <c r="V486" s="14">
        <v>76000</v>
      </c>
      <c r="W486" s="4">
        <f t="shared" si="21"/>
        <v>3.3444816053511704E-2</v>
      </c>
      <c r="Z486" s="11">
        <f t="shared" si="22"/>
        <v>0.49190938511326859</v>
      </c>
      <c r="AA486" s="19">
        <f t="shared" si="23"/>
        <v>78500</v>
      </c>
    </row>
    <row r="487" spans="2:27" x14ac:dyDescent="0.45">
      <c r="B487" s="7">
        <v>632</v>
      </c>
      <c r="C487" s="1" t="s">
        <v>72</v>
      </c>
      <c r="D487" s="1" t="s">
        <v>626</v>
      </c>
      <c r="E487" s="1" t="s">
        <v>634</v>
      </c>
      <c r="F487" s="1" t="s">
        <v>635</v>
      </c>
      <c r="G487" s="19">
        <v>5</v>
      </c>
      <c r="H487" s="19">
        <v>20</v>
      </c>
      <c r="I487" s="19">
        <v>35</v>
      </c>
      <c r="J487" s="19">
        <v>35</v>
      </c>
      <c r="K487" s="1" t="s">
        <v>363</v>
      </c>
      <c r="L487" s="2" t="s">
        <v>433</v>
      </c>
      <c r="M487" s="19">
        <v>1998</v>
      </c>
      <c r="N487" s="1" t="s">
        <v>447</v>
      </c>
      <c r="O487" s="19">
        <v>625</v>
      </c>
      <c r="P487" s="1" t="s">
        <v>5</v>
      </c>
      <c r="Q487" s="19">
        <v>3</v>
      </c>
      <c r="R487" s="19">
        <v>1</v>
      </c>
      <c r="S487" s="19">
        <v>25</v>
      </c>
      <c r="T487" s="14">
        <v>126700</v>
      </c>
      <c r="U487" s="14">
        <v>154500</v>
      </c>
      <c r="V487" s="14">
        <v>65000</v>
      </c>
      <c r="W487" s="4">
        <f t="shared" si="21"/>
        <v>0.21941594317284924</v>
      </c>
      <c r="Z487" s="11">
        <f t="shared" si="22"/>
        <v>0.42071197411003236</v>
      </c>
      <c r="AA487" s="19">
        <f t="shared" si="23"/>
        <v>89500</v>
      </c>
    </row>
    <row r="488" spans="2:27" x14ac:dyDescent="0.45">
      <c r="B488" s="7">
        <v>926</v>
      </c>
      <c r="C488" s="1" t="s">
        <v>20</v>
      </c>
      <c r="D488" s="1" t="s">
        <v>781</v>
      </c>
      <c r="E488" s="1" t="s">
        <v>813</v>
      </c>
      <c r="F488" s="1" t="s">
        <v>793</v>
      </c>
      <c r="G488" s="19">
        <v>6</v>
      </c>
      <c r="H488" s="19">
        <v>37</v>
      </c>
      <c r="I488" s="19">
        <v>29</v>
      </c>
      <c r="J488" s="19">
        <v>30</v>
      </c>
      <c r="K488" s="1" t="s">
        <v>97</v>
      </c>
      <c r="L488" s="2" t="s">
        <v>453</v>
      </c>
      <c r="M488" s="19">
        <v>2019</v>
      </c>
      <c r="N488" s="1" t="s">
        <v>447</v>
      </c>
      <c r="O488" s="19">
        <v>802</v>
      </c>
      <c r="P488" s="1" t="s">
        <v>18</v>
      </c>
      <c r="Q488" s="19">
        <v>3</v>
      </c>
      <c r="R488" s="19">
        <v>2</v>
      </c>
      <c r="S488" s="19">
        <v>33</v>
      </c>
      <c r="T488" s="14">
        <v>141000</v>
      </c>
      <c r="U488" s="14">
        <v>154500</v>
      </c>
      <c r="V488" s="14">
        <v>72000</v>
      </c>
      <c r="W488" s="4">
        <f t="shared" si="21"/>
        <v>9.5744680851063829E-2</v>
      </c>
      <c r="Z488" s="11">
        <f t="shared" si="22"/>
        <v>0.46601941747572817</v>
      </c>
      <c r="AA488" s="19">
        <f t="shared" si="23"/>
        <v>82500</v>
      </c>
    </row>
    <row r="489" spans="2:27" x14ac:dyDescent="0.45">
      <c r="B489" s="7">
        <v>1775</v>
      </c>
      <c r="C489" s="1" t="s">
        <v>308</v>
      </c>
      <c r="D489" s="1" t="s">
        <v>1032</v>
      </c>
      <c r="E489" s="1" t="s">
        <v>1050</v>
      </c>
      <c r="F489" s="1" t="s">
        <v>1051</v>
      </c>
      <c r="G489" s="19">
        <v>3</v>
      </c>
      <c r="H489" s="19">
        <v>15</v>
      </c>
      <c r="I489" s="19">
        <v>32</v>
      </c>
      <c r="J489" s="19">
        <v>38</v>
      </c>
      <c r="K489" s="2" t="s">
        <v>366</v>
      </c>
      <c r="L489" s="2" t="s">
        <v>439</v>
      </c>
      <c r="M489" s="19">
        <v>2008</v>
      </c>
      <c r="N489" s="1" t="s">
        <v>434</v>
      </c>
      <c r="O489" s="19">
        <v>5563</v>
      </c>
      <c r="P489" s="1" t="s">
        <v>18</v>
      </c>
      <c r="Q489" s="19">
        <v>1</v>
      </c>
      <c r="R489" s="19">
        <v>1</v>
      </c>
      <c r="S489" s="19">
        <v>12</v>
      </c>
      <c r="T489" s="14">
        <v>127500</v>
      </c>
      <c r="U489" s="14">
        <v>154500</v>
      </c>
      <c r="V489" s="14">
        <v>58000</v>
      </c>
      <c r="W489" s="4">
        <f t="shared" si="21"/>
        <v>0.21176470588235294</v>
      </c>
      <c r="Z489" s="11">
        <f t="shared" si="22"/>
        <v>0.37540453074433655</v>
      </c>
      <c r="AA489" s="19">
        <f t="shared" si="23"/>
        <v>96500</v>
      </c>
    </row>
    <row r="490" spans="2:27" x14ac:dyDescent="0.45">
      <c r="B490" s="7">
        <v>251</v>
      </c>
      <c r="C490" s="1" t="s">
        <v>6</v>
      </c>
      <c r="D490" s="1" t="s">
        <v>508</v>
      </c>
      <c r="E490" s="1" t="s">
        <v>529</v>
      </c>
      <c r="F490" s="1" t="s">
        <v>530</v>
      </c>
      <c r="G490" s="19">
        <v>9</v>
      </c>
      <c r="H490" s="19">
        <v>38</v>
      </c>
      <c r="I490" s="19">
        <v>48</v>
      </c>
      <c r="J490" s="19">
        <v>54</v>
      </c>
      <c r="K490" s="1" t="s">
        <v>126</v>
      </c>
      <c r="L490" s="2" t="s">
        <v>433</v>
      </c>
      <c r="M490" s="19">
        <v>1998</v>
      </c>
      <c r="N490" s="1" t="s">
        <v>440</v>
      </c>
      <c r="O490" s="19">
        <v>460</v>
      </c>
      <c r="P490" s="1" t="s">
        <v>18</v>
      </c>
      <c r="Q490" s="19">
        <v>3</v>
      </c>
      <c r="R490" s="19">
        <v>2</v>
      </c>
      <c r="S490" s="19">
        <v>33</v>
      </c>
      <c r="T490" s="14">
        <v>127500</v>
      </c>
      <c r="U490" s="14">
        <v>155000</v>
      </c>
      <c r="V490" s="14">
        <v>68000</v>
      </c>
      <c r="W490" s="4">
        <f t="shared" si="21"/>
        <v>0.21568627450980393</v>
      </c>
      <c r="Z490" s="11">
        <f t="shared" si="22"/>
        <v>0.43870967741935485</v>
      </c>
      <c r="AA490" s="19">
        <f t="shared" si="23"/>
        <v>87000</v>
      </c>
    </row>
    <row r="491" spans="2:27" x14ac:dyDescent="0.45">
      <c r="B491" s="7">
        <v>483</v>
      </c>
      <c r="C491" s="1" t="s">
        <v>166</v>
      </c>
      <c r="D491" s="1" t="s">
        <v>555</v>
      </c>
      <c r="E491" s="1" t="s">
        <v>586</v>
      </c>
      <c r="F491" s="1" t="s">
        <v>583</v>
      </c>
      <c r="G491" s="19">
        <v>4</v>
      </c>
      <c r="H491" s="19">
        <v>54</v>
      </c>
      <c r="I491" s="19">
        <v>27</v>
      </c>
      <c r="J491" s="19">
        <v>41</v>
      </c>
      <c r="K491" s="2" t="s">
        <v>167</v>
      </c>
      <c r="L491" s="2" t="s">
        <v>453</v>
      </c>
      <c r="M491" s="19">
        <v>2017</v>
      </c>
      <c r="N491" s="1" t="s">
        <v>434</v>
      </c>
      <c r="O491" s="19">
        <v>1194</v>
      </c>
      <c r="P491" s="1" t="s">
        <v>18</v>
      </c>
      <c r="Q491" s="19">
        <v>3</v>
      </c>
      <c r="R491" s="19">
        <v>2</v>
      </c>
      <c r="S491" s="19">
        <v>24</v>
      </c>
      <c r="T491" s="14">
        <v>138000</v>
      </c>
      <c r="U491" s="14">
        <v>155000</v>
      </c>
      <c r="V491" s="14">
        <v>75000</v>
      </c>
      <c r="W491" s="4">
        <f t="shared" si="21"/>
        <v>0.12318840579710146</v>
      </c>
      <c r="Z491" s="11">
        <f t="shared" si="22"/>
        <v>0.4838709677419355</v>
      </c>
      <c r="AA491" s="19">
        <f t="shared" si="23"/>
        <v>80000</v>
      </c>
    </row>
    <row r="492" spans="2:27" x14ac:dyDescent="0.45">
      <c r="B492" s="7">
        <v>555</v>
      </c>
      <c r="C492" s="1" t="s">
        <v>26</v>
      </c>
      <c r="D492" s="1" t="s">
        <v>555</v>
      </c>
      <c r="E492" s="1" t="s">
        <v>603</v>
      </c>
      <c r="F492" s="1" t="s">
        <v>601</v>
      </c>
      <c r="G492" s="19">
        <v>7</v>
      </c>
      <c r="H492" s="19">
        <v>45</v>
      </c>
      <c r="I492" s="19">
        <v>18</v>
      </c>
      <c r="J492" s="19">
        <v>31</v>
      </c>
      <c r="K492" s="2" t="s">
        <v>604</v>
      </c>
      <c r="L492" s="2" t="s">
        <v>439</v>
      </c>
      <c r="M492" s="19">
        <v>2013</v>
      </c>
      <c r="N492" s="1" t="s">
        <v>447</v>
      </c>
      <c r="O492" s="19">
        <v>790</v>
      </c>
      <c r="P492" s="1" t="s">
        <v>18</v>
      </c>
      <c r="Q492" s="19">
        <v>3</v>
      </c>
      <c r="R492" s="19">
        <v>2</v>
      </c>
      <c r="S492" s="19">
        <v>33</v>
      </c>
      <c r="T492" s="14">
        <v>136000</v>
      </c>
      <c r="U492" s="14">
        <v>155000</v>
      </c>
      <c r="V492" s="14">
        <v>80000</v>
      </c>
      <c r="W492" s="4">
        <f t="shared" si="21"/>
        <v>0.13970588235294118</v>
      </c>
      <c r="Z492" s="11">
        <f t="shared" si="22"/>
        <v>0.5161290322580645</v>
      </c>
      <c r="AA492" s="19">
        <f t="shared" si="23"/>
        <v>75000</v>
      </c>
    </row>
    <row r="493" spans="2:27" x14ac:dyDescent="0.45">
      <c r="B493" s="7">
        <v>625</v>
      </c>
      <c r="C493" s="1" t="s">
        <v>72</v>
      </c>
      <c r="D493" s="1" t="s">
        <v>626</v>
      </c>
      <c r="E493" s="1" t="s">
        <v>633</v>
      </c>
      <c r="F493" s="1" t="s">
        <v>630</v>
      </c>
      <c r="G493" s="19">
        <v>5</v>
      </c>
      <c r="H493" s="19">
        <v>28</v>
      </c>
      <c r="I493" s="19">
        <v>45</v>
      </c>
      <c r="J493" s="19">
        <v>40</v>
      </c>
      <c r="K493" s="2" t="s">
        <v>364</v>
      </c>
      <c r="L493" s="2" t="s">
        <v>439</v>
      </c>
      <c r="M493" s="19">
        <v>2001</v>
      </c>
      <c r="N493" s="1" t="s">
        <v>440</v>
      </c>
      <c r="O493" s="19">
        <v>252</v>
      </c>
      <c r="P493" s="1" t="s">
        <v>5</v>
      </c>
      <c r="Q493" s="19">
        <v>3</v>
      </c>
      <c r="R493" s="19">
        <v>1</v>
      </c>
      <c r="S493" s="19">
        <v>25</v>
      </c>
      <c r="T493" s="14">
        <v>127000</v>
      </c>
      <c r="U493" s="14">
        <v>155000</v>
      </c>
      <c r="V493" s="14">
        <v>63000</v>
      </c>
      <c r="W493" s="4">
        <f t="shared" si="21"/>
        <v>0.22047244094488189</v>
      </c>
      <c r="Z493" s="11">
        <f t="shared" si="22"/>
        <v>0.40645161290322579</v>
      </c>
      <c r="AA493" s="19">
        <f t="shared" si="23"/>
        <v>92000</v>
      </c>
    </row>
    <row r="494" spans="2:27" x14ac:dyDescent="0.45">
      <c r="B494" s="7">
        <v>1179</v>
      </c>
      <c r="C494" s="1" t="s">
        <v>869</v>
      </c>
      <c r="D494" s="1" t="s">
        <v>866</v>
      </c>
      <c r="E494" s="1" t="s">
        <v>885</v>
      </c>
      <c r="F494" s="1" t="s">
        <v>886</v>
      </c>
      <c r="G494" s="19">
        <v>10</v>
      </c>
      <c r="H494" s="19">
        <v>48</v>
      </c>
      <c r="I494" s="19">
        <v>20</v>
      </c>
      <c r="J494" s="19">
        <v>32</v>
      </c>
      <c r="K494" s="1" t="s">
        <v>177</v>
      </c>
      <c r="L494" s="2" t="s">
        <v>453</v>
      </c>
      <c r="M494" s="19">
        <v>2019</v>
      </c>
      <c r="N494" s="1" t="s">
        <v>440</v>
      </c>
      <c r="O494" s="19">
        <v>385</v>
      </c>
      <c r="P494" s="1" t="s">
        <v>18</v>
      </c>
      <c r="Q494" s="19">
        <v>3</v>
      </c>
      <c r="R494" s="19">
        <v>2</v>
      </c>
      <c r="S494" s="19">
        <v>25</v>
      </c>
      <c r="T494" s="14">
        <v>145000</v>
      </c>
      <c r="U494" s="14">
        <v>155000</v>
      </c>
      <c r="V494" s="14">
        <v>73000</v>
      </c>
      <c r="W494" s="4">
        <f t="shared" si="21"/>
        <v>6.8965517241379309E-2</v>
      </c>
      <c r="Z494" s="11">
        <f t="shared" si="22"/>
        <v>0.47096774193548385</v>
      </c>
      <c r="AA494" s="19">
        <f t="shared" si="23"/>
        <v>82000</v>
      </c>
    </row>
    <row r="495" spans="2:27" x14ac:dyDescent="0.45">
      <c r="B495" s="7">
        <v>1576</v>
      </c>
      <c r="C495" s="1" t="s">
        <v>8</v>
      </c>
      <c r="D495" s="1" t="s">
        <v>964</v>
      </c>
      <c r="E495" s="1" t="s">
        <v>992</v>
      </c>
      <c r="F495" s="1" t="s">
        <v>975</v>
      </c>
      <c r="G495" s="19">
        <v>4</v>
      </c>
      <c r="H495" s="19">
        <v>32</v>
      </c>
      <c r="I495" s="19">
        <v>30</v>
      </c>
      <c r="J495" s="19">
        <v>22</v>
      </c>
      <c r="K495" s="1" t="s">
        <v>74</v>
      </c>
      <c r="L495" s="2" t="s">
        <v>433</v>
      </c>
      <c r="M495" s="19">
        <v>1994</v>
      </c>
      <c r="N495" s="1" t="s">
        <v>434</v>
      </c>
      <c r="O495" s="19">
        <v>1267</v>
      </c>
      <c r="P495" s="1" t="s">
        <v>5</v>
      </c>
      <c r="Q495" s="19">
        <v>2</v>
      </c>
      <c r="R495" s="19">
        <v>1</v>
      </c>
      <c r="S495" s="19">
        <v>25</v>
      </c>
      <c r="T495" s="14">
        <v>120000</v>
      </c>
      <c r="U495" s="14">
        <v>155000</v>
      </c>
      <c r="V495" s="14">
        <v>50000</v>
      </c>
      <c r="W495" s="4">
        <f t="shared" si="21"/>
        <v>0.29166666666666669</v>
      </c>
      <c r="Z495" s="11">
        <f t="shared" si="22"/>
        <v>0.32258064516129031</v>
      </c>
      <c r="AA495" s="19">
        <f t="shared" si="23"/>
        <v>105000</v>
      </c>
    </row>
    <row r="496" spans="2:27" x14ac:dyDescent="0.45">
      <c r="B496" s="7">
        <v>1966</v>
      </c>
      <c r="C496" s="1" t="s">
        <v>143</v>
      </c>
      <c r="D496" s="1" t="s">
        <v>1077</v>
      </c>
      <c r="E496" s="1" t="s">
        <v>1106</v>
      </c>
      <c r="F496" s="1" t="s">
        <v>1078</v>
      </c>
      <c r="G496" s="19">
        <v>5</v>
      </c>
      <c r="H496" s="19">
        <v>48</v>
      </c>
      <c r="I496" s="19">
        <v>25</v>
      </c>
      <c r="J496" s="19">
        <v>35</v>
      </c>
      <c r="K496" s="1" t="s">
        <v>144</v>
      </c>
      <c r="L496" s="2" t="s">
        <v>453</v>
      </c>
      <c r="M496" s="19">
        <v>2021</v>
      </c>
      <c r="N496" s="1" t="s">
        <v>434</v>
      </c>
      <c r="O496" s="19">
        <v>1497</v>
      </c>
      <c r="P496" s="1" t="s">
        <v>18</v>
      </c>
      <c r="Q496" s="19">
        <v>3</v>
      </c>
      <c r="R496" s="19">
        <v>2</v>
      </c>
      <c r="S496" s="19">
        <v>25</v>
      </c>
      <c r="T496" s="14">
        <v>130000</v>
      </c>
      <c r="U496" s="14">
        <v>155000</v>
      </c>
      <c r="V496" s="14">
        <v>70000</v>
      </c>
      <c r="W496" s="4">
        <f t="shared" si="21"/>
        <v>0.19230769230769232</v>
      </c>
      <c r="Z496" s="11">
        <f t="shared" si="22"/>
        <v>0.45161290322580644</v>
      </c>
      <c r="AA496" s="19">
        <f t="shared" si="23"/>
        <v>85000</v>
      </c>
    </row>
    <row r="497" spans="2:27" x14ac:dyDescent="0.45">
      <c r="B497" s="7">
        <v>1976</v>
      </c>
      <c r="C497" s="1" t="s">
        <v>98</v>
      </c>
      <c r="D497" s="1" t="s">
        <v>1107</v>
      </c>
      <c r="E497" s="1" t="s">
        <v>1109</v>
      </c>
      <c r="F497" s="1" t="s">
        <v>1110</v>
      </c>
      <c r="G497" s="19">
        <v>5</v>
      </c>
      <c r="H497" s="19">
        <v>35</v>
      </c>
      <c r="I497" s="19">
        <v>15</v>
      </c>
      <c r="J497" s="19">
        <v>20</v>
      </c>
      <c r="K497" s="1" t="s">
        <v>327</v>
      </c>
      <c r="L497" s="2" t="s">
        <v>439</v>
      </c>
      <c r="M497" s="19">
        <v>2002</v>
      </c>
      <c r="N497" s="1" t="s">
        <v>434</v>
      </c>
      <c r="O497" s="19">
        <v>2462</v>
      </c>
      <c r="P497" s="1" t="s">
        <v>18</v>
      </c>
      <c r="Q497" s="19">
        <v>3</v>
      </c>
      <c r="R497" s="19">
        <v>2</v>
      </c>
      <c r="S497" s="19">
        <v>30</v>
      </c>
      <c r="T497" s="14">
        <v>125000</v>
      </c>
      <c r="U497" s="14">
        <v>155000</v>
      </c>
      <c r="V497" s="14">
        <v>62000</v>
      </c>
      <c r="W497" s="4">
        <f t="shared" si="21"/>
        <v>0.24</v>
      </c>
      <c r="Z497" s="11">
        <f t="shared" si="22"/>
        <v>0.4</v>
      </c>
      <c r="AA497" s="19">
        <f t="shared" si="23"/>
        <v>93000</v>
      </c>
    </row>
    <row r="498" spans="2:27" x14ac:dyDescent="0.45">
      <c r="B498" s="7">
        <v>907</v>
      </c>
      <c r="C498" s="1" t="s">
        <v>161</v>
      </c>
      <c r="D498" s="1" t="s">
        <v>781</v>
      </c>
      <c r="E498" s="1" t="s">
        <v>810</v>
      </c>
      <c r="F498" s="1" t="s">
        <v>795</v>
      </c>
      <c r="G498" s="19">
        <v>5</v>
      </c>
      <c r="H498" s="19">
        <v>40</v>
      </c>
      <c r="I498" s="19">
        <v>33</v>
      </c>
      <c r="J498" s="19">
        <v>30</v>
      </c>
      <c r="K498" s="1" t="s">
        <v>162</v>
      </c>
      <c r="L498" s="2" t="s">
        <v>439</v>
      </c>
      <c r="M498" s="19">
        <v>2013</v>
      </c>
      <c r="N498" s="1" t="s">
        <v>434</v>
      </c>
      <c r="O498" s="19">
        <v>2397</v>
      </c>
      <c r="P498" s="1" t="s">
        <v>18</v>
      </c>
      <c r="Q498" s="19">
        <v>3</v>
      </c>
      <c r="R498" s="19">
        <v>2</v>
      </c>
      <c r="S498" s="19">
        <v>25</v>
      </c>
      <c r="T498" s="14">
        <v>135000</v>
      </c>
      <c r="U498" s="14">
        <v>156000</v>
      </c>
      <c r="V498" s="14">
        <v>70000</v>
      </c>
      <c r="W498" s="4">
        <f t="shared" si="21"/>
        <v>0.15555555555555556</v>
      </c>
      <c r="Z498" s="11">
        <f t="shared" si="22"/>
        <v>0.44871794871794873</v>
      </c>
      <c r="AA498" s="19">
        <f t="shared" si="23"/>
        <v>86000</v>
      </c>
    </row>
    <row r="499" spans="2:27" x14ac:dyDescent="0.45">
      <c r="B499" s="7">
        <v>2047</v>
      </c>
      <c r="C499" s="1" t="s">
        <v>98</v>
      </c>
      <c r="D499" s="1" t="s">
        <v>1107</v>
      </c>
      <c r="E499" s="1" t="s">
        <v>1133</v>
      </c>
      <c r="F499" s="1" t="s">
        <v>1116</v>
      </c>
      <c r="G499" s="19">
        <v>4</v>
      </c>
      <c r="H499" s="19">
        <v>32</v>
      </c>
      <c r="I499" s="19">
        <v>10</v>
      </c>
      <c r="J499" s="19">
        <v>22</v>
      </c>
      <c r="K499" s="1" t="s">
        <v>103</v>
      </c>
      <c r="L499" s="2" t="s">
        <v>439</v>
      </c>
      <c r="M499" s="19">
        <v>2004</v>
      </c>
      <c r="N499" s="1" t="s">
        <v>447</v>
      </c>
      <c r="O499" s="19">
        <v>538</v>
      </c>
      <c r="P499" s="1" t="s">
        <v>18</v>
      </c>
      <c r="Q499" s="19">
        <v>3</v>
      </c>
      <c r="R499" s="19">
        <v>1</v>
      </c>
      <c r="S499" s="19">
        <v>33</v>
      </c>
      <c r="T499" s="14">
        <v>135000</v>
      </c>
      <c r="U499" s="14">
        <v>157000</v>
      </c>
      <c r="V499" s="14">
        <v>72000</v>
      </c>
      <c r="W499" s="4">
        <f t="shared" si="21"/>
        <v>0.16296296296296298</v>
      </c>
      <c r="Z499" s="11">
        <f t="shared" si="22"/>
        <v>0.45859872611464969</v>
      </c>
      <c r="AA499" s="19">
        <f t="shared" si="23"/>
        <v>85000</v>
      </c>
    </row>
    <row r="500" spans="2:27" x14ac:dyDescent="0.45">
      <c r="B500" s="7">
        <v>534</v>
      </c>
      <c r="C500" s="1" t="s">
        <v>86</v>
      </c>
      <c r="D500" s="1" t="s">
        <v>555</v>
      </c>
      <c r="E500" s="1" t="s">
        <v>556</v>
      </c>
      <c r="F500" s="1" t="s">
        <v>557</v>
      </c>
      <c r="G500" s="19">
        <v>3</v>
      </c>
      <c r="H500" s="19">
        <v>45</v>
      </c>
      <c r="I500" s="19">
        <v>18</v>
      </c>
      <c r="J500" s="19">
        <v>32</v>
      </c>
      <c r="K500" s="2" t="s">
        <v>88</v>
      </c>
      <c r="L500" s="2" t="s">
        <v>439</v>
      </c>
      <c r="M500" s="19">
        <v>2005</v>
      </c>
      <c r="N500" s="1" t="s">
        <v>434</v>
      </c>
      <c r="O500" s="19">
        <v>2198</v>
      </c>
      <c r="P500" s="1" t="s">
        <v>18</v>
      </c>
      <c r="Q500" s="19">
        <v>3</v>
      </c>
      <c r="R500" s="19">
        <v>2</v>
      </c>
      <c r="S500" s="19">
        <v>25</v>
      </c>
      <c r="T500" s="14">
        <v>120000</v>
      </c>
      <c r="U500" s="14">
        <v>158000</v>
      </c>
      <c r="V500" s="14">
        <v>65000</v>
      </c>
      <c r="W500" s="4">
        <f t="shared" si="21"/>
        <v>0.31666666666666665</v>
      </c>
      <c r="Z500" s="11">
        <f t="shared" si="22"/>
        <v>0.41139240506329117</v>
      </c>
      <c r="AA500" s="19">
        <f t="shared" si="23"/>
        <v>93000</v>
      </c>
    </row>
    <row r="501" spans="2:27" x14ac:dyDescent="0.45">
      <c r="B501" s="7">
        <v>2269</v>
      </c>
      <c r="C501" s="1" t="s">
        <v>44</v>
      </c>
      <c r="D501" s="1" t="s">
        <v>1182</v>
      </c>
      <c r="E501" s="1" t="s">
        <v>1189</v>
      </c>
      <c r="F501" s="1" t="s">
        <v>1190</v>
      </c>
      <c r="G501" s="19">
        <v>3</v>
      </c>
      <c r="H501" s="19">
        <v>45</v>
      </c>
      <c r="I501" s="19">
        <v>35</v>
      </c>
      <c r="J501" s="19">
        <v>10</v>
      </c>
      <c r="K501" s="1" t="s">
        <v>358</v>
      </c>
      <c r="L501" s="2" t="s">
        <v>439</v>
      </c>
      <c r="M501" s="19">
        <v>2008</v>
      </c>
      <c r="N501" s="1" t="s">
        <v>447</v>
      </c>
      <c r="O501" s="19">
        <v>810</v>
      </c>
      <c r="P501" s="1" t="s">
        <v>18</v>
      </c>
      <c r="Q501" s="19">
        <v>3</v>
      </c>
      <c r="R501" s="19">
        <v>2</v>
      </c>
      <c r="S501" s="19">
        <v>33</v>
      </c>
      <c r="T501" s="14">
        <v>150000</v>
      </c>
      <c r="U501" s="14">
        <v>158000</v>
      </c>
      <c r="V501" s="14">
        <v>80000</v>
      </c>
      <c r="W501" s="4">
        <f t="shared" si="21"/>
        <v>5.3333333333333337E-2</v>
      </c>
      <c r="Z501" s="11">
        <f t="shared" si="22"/>
        <v>0.50632911392405067</v>
      </c>
      <c r="AA501" s="19">
        <f t="shared" si="23"/>
        <v>78000</v>
      </c>
    </row>
    <row r="502" spans="2:27" x14ac:dyDescent="0.45">
      <c r="B502" s="7">
        <v>817</v>
      </c>
      <c r="C502" s="1" t="s">
        <v>161</v>
      </c>
      <c r="D502" s="1" t="s">
        <v>781</v>
      </c>
      <c r="E502" s="1" t="s">
        <v>782</v>
      </c>
      <c r="F502" s="1" t="s">
        <v>783</v>
      </c>
      <c r="G502" s="19">
        <v>4</v>
      </c>
      <c r="H502" s="19">
        <v>32</v>
      </c>
      <c r="I502" s="19">
        <v>28</v>
      </c>
      <c r="J502" s="19">
        <v>25</v>
      </c>
      <c r="K502" s="1" t="s">
        <v>784</v>
      </c>
      <c r="L502" s="2" t="s">
        <v>453</v>
      </c>
      <c r="M502" s="19">
        <v>2018</v>
      </c>
      <c r="N502" s="1" t="s">
        <v>447</v>
      </c>
      <c r="O502" s="19">
        <v>764</v>
      </c>
      <c r="P502" s="1" t="s">
        <v>18</v>
      </c>
      <c r="Q502" s="19">
        <v>3</v>
      </c>
      <c r="R502" s="19">
        <v>2</v>
      </c>
      <c r="S502" s="19">
        <v>33</v>
      </c>
      <c r="T502" s="14">
        <v>153000</v>
      </c>
      <c r="U502" s="14">
        <v>159500</v>
      </c>
      <c r="V502" s="14">
        <v>80000</v>
      </c>
      <c r="W502" s="4">
        <f t="shared" si="21"/>
        <v>4.2483660130718956E-2</v>
      </c>
      <c r="Z502" s="11">
        <f t="shared" si="22"/>
        <v>0.50156739811912221</v>
      </c>
      <c r="AA502" s="19">
        <f t="shared" si="23"/>
        <v>79500</v>
      </c>
    </row>
    <row r="503" spans="2:27" x14ac:dyDescent="0.45">
      <c r="B503" s="7">
        <v>1827</v>
      </c>
      <c r="C503" s="1" t="s">
        <v>24</v>
      </c>
      <c r="D503" s="1" t="s">
        <v>1032</v>
      </c>
      <c r="E503" s="1" t="s">
        <v>1067</v>
      </c>
      <c r="F503" s="1" t="s">
        <v>1047</v>
      </c>
      <c r="G503" s="19">
        <v>6</v>
      </c>
      <c r="H503" s="19">
        <v>25</v>
      </c>
      <c r="I503" s="19">
        <v>45</v>
      </c>
      <c r="J503" s="19">
        <v>48</v>
      </c>
      <c r="K503" s="2" t="s">
        <v>274</v>
      </c>
      <c r="L503" s="2" t="s">
        <v>433</v>
      </c>
      <c r="M503" s="19">
        <v>1997</v>
      </c>
      <c r="N503" s="1" t="s">
        <v>440</v>
      </c>
      <c r="O503" s="19">
        <v>243</v>
      </c>
      <c r="P503" s="1" t="s">
        <v>18</v>
      </c>
      <c r="Q503" s="19">
        <v>3</v>
      </c>
      <c r="R503" s="19">
        <v>2</v>
      </c>
      <c r="S503" s="19">
        <v>33</v>
      </c>
      <c r="T503" s="14">
        <v>140000</v>
      </c>
      <c r="U503" s="14">
        <v>159500</v>
      </c>
      <c r="V503" s="14">
        <v>70000</v>
      </c>
      <c r="W503" s="4">
        <f t="shared" si="21"/>
        <v>0.13928571428571429</v>
      </c>
      <c r="Z503" s="11">
        <f t="shared" si="22"/>
        <v>0.43887147335423199</v>
      </c>
      <c r="AA503" s="19">
        <f t="shared" si="23"/>
        <v>89500</v>
      </c>
    </row>
    <row r="504" spans="2:27" x14ac:dyDescent="0.45">
      <c r="B504" s="7">
        <v>291</v>
      </c>
      <c r="C504" s="1" t="s">
        <v>6</v>
      </c>
      <c r="D504" s="1" t="s">
        <v>508</v>
      </c>
      <c r="E504" s="1" t="s">
        <v>539</v>
      </c>
      <c r="F504" s="1" t="s">
        <v>540</v>
      </c>
      <c r="G504" s="19">
        <v>5</v>
      </c>
      <c r="H504" s="19">
        <v>42</v>
      </c>
      <c r="I504" s="19">
        <v>52</v>
      </c>
      <c r="J504" s="19">
        <v>50</v>
      </c>
      <c r="K504" s="1" t="s">
        <v>28</v>
      </c>
      <c r="L504" s="2" t="s">
        <v>453</v>
      </c>
      <c r="M504" s="19">
        <v>2024</v>
      </c>
      <c r="N504" s="1" t="s">
        <v>434</v>
      </c>
      <c r="O504" s="19">
        <v>1299</v>
      </c>
      <c r="P504" s="1" t="s">
        <v>18</v>
      </c>
      <c r="Q504" s="19">
        <v>2</v>
      </c>
      <c r="R504" s="19">
        <v>1</v>
      </c>
      <c r="S504" s="19">
        <v>19</v>
      </c>
      <c r="T504" s="14">
        <v>0</v>
      </c>
      <c r="U504" s="14">
        <v>160000</v>
      </c>
      <c r="V504" s="14">
        <v>60000</v>
      </c>
      <c r="W504" s="4" t="e">
        <f t="shared" si="21"/>
        <v>#DIV/0!</v>
      </c>
      <c r="Z504" s="11">
        <f t="shared" si="22"/>
        <v>0.375</v>
      </c>
      <c r="AA504" s="19">
        <f t="shared" si="23"/>
        <v>100000</v>
      </c>
    </row>
    <row r="505" spans="2:27" x14ac:dyDescent="0.45">
      <c r="B505" s="7">
        <v>535</v>
      </c>
      <c r="C505" s="1" t="s">
        <v>86</v>
      </c>
      <c r="D505" s="1" t="s">
        <v>555</v>
      </c>
      <c r="E505" s="1" t="s">
        <v>556</v>
      </c>
      <c r="F505" s="1" t="s">
        <v>557</v>
      </c>
      <c r="G505" s="19">
        <v>3</v>
      </c>
      <c r="H505" s="19">
        <v>45</v>
      </c>
      <c r="I505" s="19">
        <v>18</v>
      </c>
      <c r="J505" s="19">
        <v>32</v>
      </c>
      <c r="K505" s="2" t="s">
        <v>88</v>
      </c>
      <c r="L505" s="2" t="s">
        <v>439</v>
      </c>
      <c r="M505" s="19">
        <v>2005</v>
      </c>
      <c r="N505" s="1" t="s">
        <v>434</v>
      </c>
      <c r="O505" s="19">
        <v>2198</v>
      </c>
      <c r="P505" s="1" t="s">
        <v>18</v>
      </c>
      <c r="Q505" s="19">
        <v>3</v>
      </c>
      <c r="R505" s="19">
        <v>2</v>
      </c>
      <c r="S505" s="19">
        <v>33</v>
      </c>
      <c r="T505" s="14">
        <v>149000</v>
      </c>
      <c r="U505" s="14">
        <v>160000</v>
      </c>
      <c r="V505" s="14">
        <v>80000</v>
      </c>
      <c r="W505" s="4">
        <f t="shared" si="21"/>
        <v>7.3825503355704702E-2</v>
      </c>
      <c r="Z505" s="11">
        <f t="shared" si="22"/>
        <v>0.5</v>
      </c>
      <c r="AA505" s="19">
        <f t="shared" si="23"/>
        <v>80000</v>
      </c>
    </row>
    <row r="506" spans="2:27" x14ac:dyDescent="0.45">
      <c r="B506" s="7">
        <v>634</v>
      </c>
      <c r="C506" s="1" t="s">
        <v>72</v>
      </c>
      <c r="D506" s="1" t="s">
        <v>626</v>
      </c>
      <c r="E506" s="1" t="s">
        <v>636</v>
      </c>
      <c r="F506" s="1" t="s">
        <v>635</v>
      </c>
      <c r="G506" s="19">
        <v>4</v>
      </c>
      <c r="H506" s="19">
        <v>18</v>
      </c>
      <c r="I506" s="19">
        <v>34</v>
      </c>
      <c r="J506" s="19">
        <v>34</v>
      </c>
      <c r="K506" s="1" t="s">
        <v>362</v>
      </c>
      <c r="L506" s="2" t="s">
        <v>433</v>
      </c>
      <c r="M506" s="19">
        <v>1989</v>
      </c>
      <c r="N506" s="1" t="s">
        <v>440</v>
      </c>
      <c r="O506" s="19">
        <v>464</v>
      </c>
      <c r="P506" s="1" t="s">
        <v>18</v>
      </c>
      <c r="Q506" s="19">
        <v>3</v>
      </c>
      <c r="R506" s="19">
        <v>1</v>
      </c>
      <c r="S506" s="19">
        <v>27</v>
      </c>
      <c r="T506" s="14">
        <v>153000</v>
      </c>
      <c r="U506" s="14">
        <v>160000</v>
      </c>
      <c r="V506" s="14">
        <v>60000</v>
      </c>
      <c r="W506" s="4">
        <f t="shared" si="21"/>
        <v>4.5751633986928102E-2</v>
      </c>
      <c r="Z506" s="11">
        <f t="shared" si="22"/>
        <v>0.375</v>
      </c>
      <c r="AA506" s="19">
        <f t="shared" si="23"/>
        <v>100000</v>
      </c>
    </row>
    <row r="507" spans="2:27" x14ac:dyDescent="0.45">
      <c r="B507" s="7">
        <v>951</v>
      </c>
      <c r="C507" s="1" t="s">
        <v>14</v>
      </c>
      <c r="D507" s="1" t="s">
        <v>816</v>
      </c>
      <c r="E507" s="1" t="s">
        <v>817</v>
      </c>
      <c r="F507" s="1" t="s">
        <v>818</v>
      </c>
      <c r="G507" s="19">
        <v>4</v>
      </c>
      <c r="H507" s="19">
        <v>18</v>
      </c>
      <c r="I507" s="19">
        <v>23</v>
      </c>
      <c r="J507" s="19">
        <v>28</v>
      </c>
      <c r="K507" s="2" t="s">
        <v>430</v>
      </c>
      <c r="L507" s="2" t="s">
        <v>439</v>
      </c>
      <c r="M507" s="19">
        <v>2012</v>
      </c>
      <c r="N507" s="1" t="s">
        <v>434</v>
      </c>
      <c r="O507" s="19">
        <v>1559</v>
      </c>
      <c r="P507" s="1" t="s">
        <v>18</v>
      </c>
      <c r="Q507" s="19">
        <v>3</v>
      </c>
      <c r="R507" s="19">
        <v>2</v>
      </c>
      <c r="S507" s="19">
        <v>25</v>
      </c>
      <c r="T507" s="14">
        <v>143000</v>
      </c>
      <c r="U507" s="14">
        <v>160000</v>
      </c>
      <c r="V507" s="14">
        <v>72000</v>
      </c>
      <c r="W507" s="4">
        <f t="shared" si="21"/>
        <v>0.11888111888111888</v>
      </c>
      <c r="Z507" s="11">
        <f t="shared" si="22"/>
        <v>0.45</v>
      </c>
      <c r="AA507" s="19">
        <f t="shared" si="23"/>
        <v>88000</v>
      </c>
    </row>
    <row r="508" spans="2:27" x14ac:dyDescent="0.45">
      <c r="B508" s="7">
        <v>1011</v>
      </c>
      <c r="C508" s="1" t="s">
        <v>232</v>
      </c>
      <c r="D508" s="1" t="s">
        <v>816</v>
      </c>
      <c r="E508" s="1" t="s">
        <v>838</v>
      </c>
      <c r="F508" s="1" t="s">
        <v>818</v>
      </c>
      <c r="G508" s="19">
        <v>10</v>
      </c>
      <c r="H508" s="19">
        <v>25</v>
      </c>
      <c r="I508" s="19">
        <v>30</v>
      </c>
      <c r="J508" s="19">
        <v>38</v>
      </c>
      <c r="K508" s="2" t="s">
        <v>254</v>
      </c>
      <c r="L508" s="2" t="s">
        <v>453</v>
      </c>
      <c r="M508" s="19">
        <v>2024</v>
      </c>
      <c r="N508" s="1" t="s">
        <v>447</v>
      </c>
      <c r="O508" s="19">
        <v>771</v>
      </c>
      <c r="P508" s="1" t="s">
        <v>18</v>
      </c>
      <c r="Q508" s="19">
        <v>3</v>
      </c>
      <c r="R508" s="19">
        <v>2</v>
      </c>
      <c r="S508" s="19">
        <v>24</v>
      </c>
      <c r="T508" s="14">
        <v>0</v>
      </c>
      <c r="U508" s="14">
        <v>160000</v>
      </c>
      <c r="V508" s="14">
        <v>63000</v>
      </c>
      <c r="W508" s="4" t="e">
        <f t="shared" si="21"/>
        <v>#DIV/0!</v>
      </c>
      <c r="Z508" s="11">
        <f t="shared" si="22"/>
        <v>0.39374999999999999</v>
      </c>
      <c r="AA508" s="19">
        <f t="shared" si="23"/>
        <v>97000</v>
      </c>
    </row>
    <row r="509" spans="2:27" x14ac:dyDescent="0.45">
      <c r="B509" s="7">
        <v>1060</v>
      </c>
      <c r="C509" s="1" t="s">
        <v>89</v>
      </c>
      <c r="D509" s="1" t="s">
        <v>816</v>
      </c>
      <c r="E509" s="1" t="s">
        <v>852</v>
      </c>
      <c r="F509" s="1" t="s">
        <v>853</v>
      </c>
      <c r="G509" s="19">
        <v>6</v>
      </c>
      <c r="H509" s="19">
        <v>20</v>
      </c>
      <c r="I509" s="19">
        <v>25</v>
      </c>
      <c r="J509" s="19">
        <v>32</v>
      </c>
      <c r="K509" s="2" t="s">
        <v>234</v>
      </c>
      <c r="L509" s="2" t="s">
        <v>433</v>
      </c>
      <c r="M509" s="19">
        <v>1993</v>
      </c>
      <c r="N509" s="1" t="s">
        <v>434</v>
      </c>
      <c r="O509" s="19">
        <v>1080</v>
      </c>
      <c r="P509" s="1" t="s">
        <v>5</v>
      </c>
      <c r="Q509" s="19">
        <v>2</v>
      </c>
      <c r="R509" s="19">
        <v>1</v>
      </c>
      <c r="S509" s="19">
        <v>23</v>
      </c>
      <c r="T509" s="14">
        <v>0</v>
      </c>
      <c r="U509" s="14">
        <v>160000</v>
      </c>
      <c r="V509" s="14">
        <v>57000</v>
      </c>
      <c r="W509" s="4" t="e">
        <f t="shared" si="21"/>
        <v>#DIV/0!</v>
      </c>
      <c r="Z509" s="11">
        <f t="shared" si="22"/>
        <v>0.35625000000000001</v>
      </c>
      <c r="AA509" s="19">
        <f t="shared" si="23"/>
        <v>103000</v>
      </c>
    </row>
    <row r="510" spans="2:27" x14ac:dyDescent="0.45">
      <c r="B510" s="7">
        <v>1162</v>
      </c>
      <c r="C510" s="1" t="s">
        <v>1</v>
      </c>
      <c r="D510" s="1" t="s">
        <v>866</v>
      </c>
      <c r="E510" s="1" t="s">
        <v>883</v>
      </c>
      <c r="F510" s="1" t="s">
        <v>884</v>
      </c>
      <c r="G510" s="19">
        <v>6</v>
      </c>
      <c r="H510" s="19">
        <v>55</v>
      </c>
      <c r="I510" s="19">
        <v>22</v>
      </c>
      <c r="J510" s="19">
        <v>38</v>
      </c>
      <c r="K510" s="1" t="s">
        <v>256</v>
      </c>
      <c r="L510" s="2" t="s">
        <v>439</v>
      </c>
      <c r="M510" s="19">
        <v>2006</v>
      </c>
      <c r="N510" s="1" t="s">
        <v>447</v>
      </c>
      <c r="O510" s="19">
        <v>761</v>
      </c>
      <c r="P510" s="1" t="s">
        <v>18</v>
      </c>
      <c r="Q510" s="19">
        <v>3</v>
      </c>
      <c r="R510" s="19">
        <v>2</v>
      </c>
      <c r="S510" s="19">
        <v>33</v>
      </c>
      <c r="T510" s="14">
        <v>144000</v>
      </c>
      <c r="U510" s="14">
        <v>160000</v>
      </c>
      <c r="V510" s="14">
        <v>75000</v>
      </c>
      <c r="W510" s="4">
        <f t="shared" si="21"/>
        <v>0.1111111111111111</v>
      </c>
      <c r="Z510" s="11">
        <f t="shared" si="22"/>
        <v>0.46875</v>
      </c>
      <c r="AA510" s="19">
        <f t="shared" si="23"/>
        <v>85000</v>
      </c>
    </row>
    <row r="511" spans="2:27" x14ac:dyDescent="0.45">
      <c r="B511" s="7">
        <v>1257</v>
      </c>
      <c r="C511" s="1" t="s">
        <v>2</v>
      </c>
      <c r="D511" s="1" t="s">
        <v>899</v>
      </c>
      <c r="E511" s="1" t="s">
        <v>905</v>
      </c>
      <c r="F511" s="1" t="s">
        <v>904</v>
      </c>
      <c r="G511" s="19">
        <v>5</v>
      </c>
      <c r="H511" s="19">
        <v>45</v>
      </c>
      <c r="I511" s="19">
        <v>32</v>
      </c>
      <c r="J511" s="19">
        <v>15</v>
      </c>
      <c r="K511" s="1" t="s">
        <v>417</v>
      </c>
      <c r="L511" s="2" t="s">
        <v>453</v>
      </c>
      <c r="M511" s="19">
        <v>2021</v>
      </c>
      <c r="N511" s="1" t="s">
        <v>434</v>
      </c>
      <c r="O511" s="19">
        <v>1116</v>
      </c>
      <c r="P511" s="1" t="s">
        <v>18</v>
      </c>
      <c r="Q511" s="19">
        <v>3</v>
      </c>
      <c r="R511" s="19">
        <v>2</v>
      </c>
      <c r="S511" s="19">
        <v>33</v>
      </c>
      <c r="T511" s="14">
        <v>145509</v>
      </c>
      <c r="U511" s="14">
        <v>160000</v>
      </c>
      <c r="V511" s="14">
        <v>78000</v>
      </c>
      <c r="W511" s="4">
        <f t="shared" si="21"/>
        <v>9.9588341614608028E-2</v>
      </c>
      <c r="Z511" s="11">
        <f t="shared" si="22"/>
        <v>0.48749999999999999</v>
      </c>
      <c r="AA511" s="19">
        <f t="shared" si="23"/>
        <v>82000</v>
      </c>
    </row>
    <row r="512" spans="2:27" x14ac:dyDescent="0.45">
      <c r="B512" s="7">
        <v>1558</v>
      </c>
      <c r="C512" s="1" t="s">
        <v>8</v>
      </c>
      <c r="D512" s="1" t="s">
        <v>964</v>
      </c>
      <c r="E512" s="1" t="s">
        <v>990</v>
      </c>
      <c r="F512" s="1" t="s">
        <v>974</v>
      </c>
      <c r="G512" s="19">
        <v>7</v>
      </c>
      <c r="H512" s="19">
        <v>28</v>
      </c>
      <c r="I512" s="19">
        <v>30</v>
      </c>
      <c r="J512" s="19">
        <v>25</v>
      </c>
      <c r="K512" s="1" t="s">
        <v>106</v>
      </c>
      <c r="L512" s="2" t="s">
        <v>439</v>
      </c>
      <c r="M512" s="19">
        <v>2001</v>
      </c>
      <c r="N512" s="1" t="s">
        <v>434</v>
      </c>
      <c r="O512" s="19">
        <v>1150</v>
      </c>
      <c r="P512" s="1" t="s">
        <v>18</v>
      </c>
      <c r="Q512" s="19">
        <v>2</v>
      </c>
      <c r="R512" s="19">
        <v>1</v>
      </c>
      <c r="S512" s="19">
        <v>25</v>
      </c>
      <c r="T512" s="14">
        <v>128000</v>
      </c>
      <c r="U512" s="14">
        <v>160000</v>
      </c>
      <c r="V512" s="14">
        <v>58000</v>
      </c>
      <c r="W512" s="4">
        <f t="shared" si="21"/>
        <v>0.25</v>
      </c>
      <c r="Z512" s="11">
        <f t="shared" si="22"/>
        <v>0.36249999999999999</v>
      </c>
      <c r="AA512" s="19">
        <f t="shared" si="23"/>
        <v>102000</v>
      </c>
    </row>
    <row r="513" spans="2:27" x14ac:dyDescent="0.45">
      <c r="B513" s="7">
        <v>1618</v>
      </c>
      <c r="C513" s="1" t="s">
        <v>77</v>
      </c>
      <c r="D513" s="1" t="s">
        <v>998</v>
      </c>
      <c r="E513" s="1" t="s">
        <v>1008</v>
      </c>
      <c r="F513" s="1" t="s">
        <v>1009</v>
      </c>
      <c r="G513" s="19">
        <v>5</v>
      </c>
      <c r="H513" s="19">
        <v>50</v>
      </c>
      <c r="I513" s="19">
        <v>45</v>
      </c>
      <c r="J513" s="19">
        <v>38</v>
      </c>
      <c r="K513" s="6" t="s">
        <v>376</v>
      </c>
      <c r="L513" s="2" t="s">
        <v>453</v>
      </c>
      <c r="M513" s="19">
        <v>2025</v>
      </c>
      <c r="N513" s="1" t="s">
        <v>434</v>
      </c>
      <c r="O513" s="19">
        <v>2840</v>
      </c>
      <c r="P513" s="1" t="s">
        <v>18</v>
      </c>
      <c r="Q513" s="19">
        <v>3</v>
      </c>
      <c r="R513" s="19">
        <v>2</v>
      </c>
      <c r="S513" s="19">
        <v>33</v>
      </c>
      <c r="T513" s="14">
        <v>0</v>
      </c>
      <c r="U513" s="14">
        <v>160000</v>
      </c>
      <c r="V513" s="14">
        <v>70000</v>
      </c>
      <c r="W513" s="4" t="e">
        <f t="shared" si="21"/>
        <v>#DIV/0!</v>
      </c>
      <c r="Z513" s="11">
        <f t="shared" si="22"/>
        <v>0.4375</v>
      </c>
      <c r="AA513" s="19">
        <f t="shared" si="23"/>
        <v>90000</v>
      </c>
    </row>
    <row r="514" spans="2:27" x14ac:dyDescent="0.45">
      <c r="B514" s="7">
        <v>1811</v>
      </c>
      <c r="C514" s="1" t="s">
        <v>308</v>
      </c>
      <c r="D514" s="1" t="s">
        <v>1032</v>
      </c>
      <c r="E514" s="1" t="s">
        <v>1057</v>
      </c>
      <c r="F514" s="1" t="s">
        <v>1058</v>
      </c>
      <c r="G514" s="19">
        <v>5</v>
      </c>
      <c r="H514" s="19">
        <v>25</v>
      </c>
      <c r="I514" s="19">
        <v>35</v>
      </c>
      <c r="J514" s="19">
        <v>38</v>
      </c>
      <c r="K514" s="2" t="s">
        <v>1059</v>
      </c>
      <c r="L514" s="2" t="s">
        <v>439</v>
      </c>
      <c r="M514" s="19">
        <v>2008</v>
      </c>
      <c r="N514" s="1" t="s">
        <v>434</v>
      </c>
      <c r="O514" s="19">
        <v>6864</v>
      </c>
      <c r="P514" s="1" t="s">
        <v>18</v>
      </c>
      <c r="Q514" s="19">
        <v>1</v>
      </c>
      <c r="R514" s="19">
        <v>1</v>
      </c>
      <c r="S514" s="19">
        <v>16</v>
      </c>
      <c r="T514" s="14">
        <v>103500</v>
      </c>
      <c r="U514" s="14">
        <v>160000</v>
      </c>
      <c r="V514" s="14">
        <v>53000</v>
      </c>
      <c r="W514" s="4">
        <f t="shared" si="21"/>
        <v>0.54589371980676327</v>
      </c>
      <c r="Z514" s="11">
        <f t="shared" si="22"/>
        <v>0.33124999999999999</v>
      </c>
      <c r="AA514" s="19">
        <f t="shared" si="23"/>
        <v>107000</v>
      </c>
    </row>
    <row r="515" spans="2:27" x14ac:dyDescent="0.45">
      <c r="B515" s="7">
        <v>1819</v>
      </c>
      <c r="C515" s="1" t="s">
        <v>24</v>
      </c>
      <c r="D515" s="1" t="s">
        <v>1032</v>
      </c>
      <c r="E515" s="1" t="s">
        <v>1063</v>
      </c>
      <c r="F515" s="1" t="s">
        <v>1064</v>
      </c>
      <c r="G515" s="19">
        <v>4</v>
      </c>
      <c r="H515" s="19">
        <v>45</v>
      </c>
      <c r="I515" s="19">
        <v>65</v>
      </c>
      <c r="J515" s="19">
        <v>65</v>
      </c>
      <c r="K515" s="2" t="s">
        <v>276</v>
      </c>
      <c r="L515" s="2" t="s">
        <v>439</v>
      </c>
      <c r="M515" s="19">
        <v>2013</v>
      </c>
      <c r="N515" s="1" t="s">
        <v>434</v>
      </c>
      <c r="O515" s="19">
        <v>1810</v>
      </c>
      <c r="P515" s="1" t="s">
        <v>18</v>
      </c>
      <c r="Q515" s="19">
        <v>2</v>
      </c>
      <c r="R515" s="19">
        <v>1</v>
      </c>
      <c r="S515" s="19">
        <v>21</v>
      </c>
      <c r="T515" s="14">
        <v>125000</v>
      </c>
      <c r="U515" s="14">
        <v>160000</v>
      </c>
      <c r="V515" s="14">
        <v>60000</v>
      </c>
      <c r="W515" s="4">
        <f t="shared" si="21"/>
        <v>0.28000000000000003</v>
      </c>
      <c r="Z515" s="11">
        <f t="shared" si="22"/>
        <v>0.375</v>
      </c>
      <c r="AA515" s="19">
        <f t="shared" si="23"/>
        <v>100000</v>
      </c>
    </row>
    <row r="516" spans="2:27" x14ac:dyDescent="0.45">
      <c r="B516" s="7">
        <v>1950</v>
      </c>
      <c r="C516" s="1" t="s">
        <v>143</v>
      </c>
      <c r="D516" s="1" t="s">
        <v>1077</v>
      </c>
      <c r="E516" s="1" t="s">
        <v>1101</v>
      </c>
      <c r="F516" s="1" t="s">
        <v>1102</v>
      </c>
      <c r="G516" s="19">
        <v>6</v>
      </c>
      <c r="H516" s="19">
        <v>45</v>
      </c>
      <c r="I516" s="19">
        <v>25</v>
      </c>
      <c r="J516" s="19">
        <v>32</v>
      </c>
      <c r="K516" s="1" t="s">
        <v>188</v>
      </c>
      <c r="L516" s="2" t="s">
        <v>439</v>
      </c>
      <c r="M516" s="19">
        <v>2001</v>
      </c>
      <c r="N516" s="1" t="s">
        <v>440</v>
      </c>
      <c r="O516" s="19">
        <v>353</v>
      </c>
      <c r="P516" s="1" t="s">
        <v>18</v>
      </c>
      <c r="Q516" s="19">
        <v>3</v>
      </c>
      <c r="R516" s="19">
        <v>2</v>
      </c>
      <c r="S516" s="19">
        <v>33</v>
      </c>
      <c r="T516" s="14">
        <v>132000</v>
      </c>
      <c r="U516" s="14">
        <v>160000</v>
      </c>
      <c r="V516" s="14">
        <v>75000</v>
      </c>
      <c r="W516" s="4">
        <f t="shared" si="21"/>
        <v>0.21212121212121213</v>
      </c>
      <c r="Z516" s="11">
        <f t="shared" si="22"/>
        <v>0.46875</v>
      </c>
      <c r="AA516" s="19">
        <f t="shared" si="23"/>
        <v>85000</v>
      </c>
    </row>
    <row r="517" spans="2:27" x14ac:dyDescent="0.45">
      <c r="B517" s="7">
        <v>1974</v>
      </c>
      <c r="C517" s="1" t="s">
        <v>98</v>
      </c>
      <c r="D517" s="1" t="s">
        <v>1107</v>
      </c>
      <c r="E517" s="1" t="s">
        <v>1109</v>
      </c>
      <c r="F517" s="1" t="s">
        <v>1110</v>
      </c>
      <c r="G517" s="19">
        <v>5</v>
      </c>
      <c r="H517" s="19">
        <v>35</v>
      </c>
      <c r="I517" s="19">
        <v>15</v>
      </c>
      <c r="J517" s="19">
        <v>20</v>
      </c>
      <c r="K517" s="1" t="s">
        <v>327</v>
      </c>
      <c r="L517" s="2" t="s">
        <v>439</v>
      </c>
      <c r="M517" s="19">
        <v>2002</v>
      </c>
      <c r="N517" s="1" t="s">
        <v>434</v>
      </c>
      <c r="O517" s="19">
        <v>2462</v>
      </c>
      <c r="P517" s="1" t="s">
        <v>18</v>
      </c>
      <c r="Q517" s="19">
        <v>3</v>
      </c>
      <c r="R517" s="19">
        <v>2</v>
      </c>
      <c r="S517" s="19">
        <v>35</v>
      </c>
      <c r="T517" s="14">
        <v>138000</v>
      </c>
      <c r="U517" s="14">
        <v>160000</v>
      </c>
      <c r="V517" s="14">
        <v>65000</v>
      </c>
      <c r="W517" s="4">
        <f t="shared" si="21"/>
        <v>0.15942028985507245</v>
      </c>
      <c r="Z517" s="11">
        <f t="shared" si="22"/>
        <v>0.40625</v>
      </c>
      <c r="AA517" s="19">
        <f t="shared" si="23"/>
        <v>95000</v>
      </c>
    </row>
    <row r="518" spans="2:27" x14ac:dyDescent="0.45">
      <c r="B518" s="7">
        <v>2004</v>
      </c>
      <c r="C518" s="1" t="s">
        <v>98</v>
      </c>
      <c r="D518" s="1" t="s">
        <v>1107</v>
      </c>
      <c r="E518" s="1" t="s">
        <v>1121</v>
      </c>
      <c r="F518" s="1" t="s">
        <v>1119</v>
      </c>
      <c r="G518" s="19">
        <v>8</v>
      </c>
      <c r="H518" s="19">
        <v>38</v>
      </c>
      <c r="I518" s="19">
        <v>18</v>
      </c>
      <c r="J518" s="19">
        <v>28</v>
      </c>
      <c r="K518" s="1" t="s">
        <v>1122</v>
      </c>
      <c r="L518" s="2" t="s">
        <v>453</v>
      </c>
      <c r="M518" s="19">
        <v>2019</v>
      </c>
      <c r="N518" s="1" t="s">
        <v>447</v>
      </c>
      <c r="O518" s="19">
        <v>612</v>
      </c>
      <c r="P518" s="1" t="s">
        <v>18</v>
      </c>
      <c r="Q518" s="19">
        <v>3</v>
      </c>
      <c r="R518" s="19">
        <v>2</v>
      </c>
      <c r="S518" s="19">
        <v>33</v>
      </c>
      <c r="T518" s="14">
        <v>161000</v>
      </c>
      <c r="U518" s="14">
        <v>160000</v>
      </c>
      <c r="V518" s="14">
        <v>75000</v>
      </c>
      <c r="W518" s="4">
        <f t="shared" ref="W518:W581" si="24">(U518-$T518)/$T518</f>
        <v>-6.2111801242236021E-3</v>
      </c>
      <c r="Z518" s="11">
        <f t="shared" ref="Z518:Z581" si="25">V518/U518</f>
        <v>0.46875</v>
      </c>
      <c r="AA518" s="19">
        <f t="shared" ref="AA518:AA581" si="26">U518-V518</f>
        <v>85000</v>
      </c>
    </row>
    <row r="519" spans="2:27" x14ac:dyDescent="0.45">
      <c r="B519" s="7">
        <v>2133</v>
      </c>
      <c r="C519" s="1" t="s">
        <v>92</v>
      </c>
      <c r="D519" s="1" t="s">
        <v>1150</v>
      </c>
      <c r="E519" s="1" t="s">
        <v>1157</v>
      </c>
      <c r="F519" s="1" t="s">
        <v>1156</v>
      </c>
      <c r="G519" s="19">
        <v>3</v>
      </c>
      <c r="H519" s="19">
        <v>50</v>
      </c>
      <c r="I519" s="19">
        <v>20</v>
      </c>
      <c r="J519" s="19">
        <v>30</v>
      </c>
      <c r="K519" s="2" t="s">
        <v>390</v>
      </c>
      <c r="L519" s="2" t="s">
        <v>453</v>
      </c>
      <c r="M519" s="19">
        <v>2023</v>
      </c>
      <c r="N519" s="1" t="s">
        <v>434</v>
      </c>
      <c r="O519" s="19">
        <v>1256</v>
      </c>
      <c r="P519" s="1" t="s">
        <v>18</v>
      </c>
      <c r="Q519" s="19">
        <v>3</v>
      </c>
      <c r="R519" s="19">
        <v>2</v>
      </c>
      <c r="S519" s="19">
        <v>30</v>
      </c>
      <c r="T519" s="14">
        <v>146860</v>
      </c>
      <c r="U519" s="14">
        <v>160000</v>
      </c>
      <c r="V519" s="14">
        <v>82000</v>
      </c>
      <c r="W519" s="4">
        <f t="shared" si="24"/>
        <v>8.9472967451995095E-2</v>
      </c>
      <c r="Z519" s="11">
        <f t="shared" si="25"/>
        <v>0.51249999999999996</v>
      </c>
      <c r="AA519" s="19">
        <f t="shared" si="26"/>
        <v>78000</v>
      </c>
    </row>
    <row r="520" spans="2:27" x14ac:dyDescent="0.45">
      <c r="B520" s="7">
        <v>2285</v>
      </c>
      <c r="C520" s="1" t="s">
        <v>84</v>
      </c>
      <c r="D520" s="1" t="s">
        <v>1194</v>
      </c>
      <c r="E520" s="1" t="s">
        <v>1199</v>
      </c>
      <c r="F520" s="1" t="s">
        <v>1196</v>
      </c>
      <c r="G520" s="19">
        <v>10</v>
      </c>
      <c r="H520" s="19">
        <v>30</v>
      </c>
      <c r="I520" s="19">
        <v>40</v>
      </c>
      <c r="J520" s="19">
        <v>20</v>
      </c>
      <c r="K520" s="2" t="s">
        <v>317</v>
      </c>
      <c r="L520" s="2" t="s">
        <v>433</v>
      </c>
      <c r="M520" s="19">
        <v>1999</v>
      </c>
      <c r="N520" s="1" t="s">
        <v>434</v>
      </c>
      <c r="O520" s="19">
        <v>2282</v>
      </c>
      <c r="P520" s="1" t="s">
        <v>5</v>
      </c>
      <c r="Q520" s="19">
        <v>3</v>
      </c>
      <c r="R520" s="19">
        <v>1</v>
      </c>
      <c r="S520" s="19">
        <v>27</v>
      </c>
      <c r="T520" s="14">
        <v>0</v>
      </c>
      <c r="U520" s="14">
        <v>160000</v>
      </c>
      <c r="V520" s="14">
        <v>62000</v>
      </c>
      <c r="W520" s="4" t="e">
        <f t="shared" si="24"/>
        <v>#DIV/0!</v>
      </c>
      <c r="Z520" s="11">
        <f t="shared" si="25"/>
        <v>0.38750000000000001</v>
      </c>
      <c r="AA520" s="19">
        <f t="shared" si="26"/>
        <v>98000</v>
      </c>
    </row>
    <row r="521" spans="2:27" x14ac:dyDescent="0.45">
      <c r="B521" s="7">
        <v>2103</v>
      </c>
      <c r="C521" s="1" t="s">
        <v>1138</v>
      </c>
      <c r="D521" s="1" t="s">
        <v>1137</v>
      </c>
      <c r="E521" s="1" t="s">
        <v>1148</v>
      </c>
      <c r="F521" s="1" t="s">
        <v>1143</v>
      </c>
      <c r="G521" s="19">
        <v>7</v>
      </c>
      <c r="H521" s="19">
        <v>35</v>
      </c>
      <c r="I521" s="19">
        <v>15</v>
      </c>
      <c r="J521" s="19">
        <v>18</v>
      </c>
      <c r="K521" s="1" t="s">
        <v>117</v>
      </c>
      <c r="L521" s="2" t="s">
        <v>439</v>
      </c>
      <c r="M521" s="19">
        <v>2001</v>
      </c>
      <c r="N521" s="1" t="s">
        <v>434</v>
      </c>
      <c r="O521" s="19">
        <v>1458</v>
      </c>
      <c r="P521" s="1" t="s">
        <v>18</v>
      </c>
      <c r="Q521" s="19">
        <v>3</v>
      </c>
      <c r="R521" s="19">
        <v>1</v>
      </c>
      <c r="S521" s="19">
        <v>25</v>
      </c>
      <c r="T521" s="14">
        <v>143000</v>
      </c>
      <c r="U521" s="14">
        <v>163000</v>
      </c>
      <c r="V521" s="14">
        <v>63000</v>
      </c>
      <c r="W521" s="4">
        <f t="shared" si="24"/>
        <v>0.13986013986013987</v>
      </c>
      <c r="Z521" s="11">
        <f t="shared" si="25"/>
        <v>0.38650306748466257</v>
      </c>
      <c r="AA521" s="19">
        <f t="shared" si="26"/>
        <v>100000</v>
      </c>
    </row>
    <row r="522" spans="2:27" x14ac:dyDescent="0.45">
      <c r="B522" s="7">
        <v>97</v>
      </c>
      <c r="C522" s="1" t="s">
        <v>441</v>
      </c>
      <c r="D522" s="1" t="s">
        <v>436</v>
      </c>
      <c r="E522" s="1" t="s">
        <v>479</v>
      </c>
      <c r="F522" s="1" t="s">
        <v>477</v>
      </c>
      <c r="G522" s="19">
        <v>5</v>
      </c>
      <c r="H522" s="19">
        <v>22</v>
      </c>
      <c r="I522" s="19">
        <v>45</v>
      </c>
      <c r="J522" s="19">
        <v>50</v>
      </c>
      <c r="K522" s="2" t="s">
        <v>480</v>
      </c>
      <c r="L522" s="2" t="s">
        <v>453</v>
      </c>
      <c r="M522" s="19">
        <v>2023</v>
      </c>
      <c r="N522" s="1" t="s">
        <v>434</v>
      </c>
      <c r="O522" s="19">
        <v>6702</v>
      </c>
      <c r="P522" s="1" t="s">
        <v>5</v>
      </c>
      <c r="Q522" s="19">
        <v>1</v>
      </c>
      <c r="R522" s="19">
        <v>1</v>
      </c>
      <c r="S522" s="19">
        <v>15</v>
      </c>
      <c r="T522" s="14">
        <v>115000</v>
      </c>
      <c r="U522" s="14">
        <v>165000</v>
      </c>
      <c r="V522" s="14">
        <v>59000</v>
      </c>
      <c r="W522" s="4">
        <f t="shared" si="24"/>
        <v>0.43478260869565216</v>
      </c>
      <c r="Z522" s="11">
        <f t="shared" si="25"/>
        <v>0.3575757575757576</v>
      </c>
      <c r="AA522" s="19">
        <f t="shared" si="26"/>
        <v>106000</v>
      </c>
    </row>
    <row r="523" spans="2:27" x14ac:dyDescent="0.45">
      <c r="B523" s="7">
        <v>180</v>
      </c>
      <c r="C523" s="1" t="s">
        <v>441</v>
      </c>
      <c r="D523" s="1" t="s">
        <v>436</v>
      </c>
      <c r="E523" s="1" t="s">
        <v>500</v>
      </c>
      <c r="F523" s="1" t="s">
        <v>499</v>
      </c>
      <c r="G523" s="19">
        <v>5</v>
      </c>
      <c r="H523" s="19">
        <v>25</v>
      </c>
      <c r="I523" s="19">
        <v>45</v>
      </c>
      <c r="J523" s="19">
        <v>55</v>
      </c>
      <c r="K523" s="2" t="s">
        <v>501</v>
      </c>
      <c r="L523" s="2" t="s">
        <v>433</v>
      </c>
      <c r="M523" s="19">
        <v>1992</v>
      </c>
      <c r="N523" s="1" t="s">
        <v>434</v>
      </c>
      <c r="O523" s="19">
        <v>1758</v>
      </c>
      <c r="P523" s="1" t="s">
        <v>5</v>
      </c>
      <c r="Q523" s="19">
        <v>2</v>
      </c>
      <c r="R523" s="19">
        <v>1</v>
      </c>
      <c r="S523" s="19">
        <v>14</v>
      </c>
      <c r="T523" s="14">
        <v>120000</v>
      </c>
      <c r="U523" s="14">
        <v>165000</v>
      </c>
      <c r="V523" s="14">
        <v>45000</v>
      </c>
      <c r="W523" s="4">
        <f t="shared" si="24"/>
        <v>0.375</v>
      </c>
      <c r="Z523" s="11">
        <f t="shared" si="25"/>
        <v>0.27272727272727271</v>
      </c>
      <c r="AA523" s="19">
        <f t="shared" si="26"/>
        <v>120000</v>
      </c>
    </row>
    <row r="524" spans="2:27" x14ac:dyDescent="0.45">
      <c r="B524" s="7">
        <v>231</v>
      </c>
      <c r="C524" s="1" t="s">
        <v>510</v>
      </c>
      <c r="D524" s="1" t="s">
        <v>508</v>
      </c>
      <c r="E524" s="1" t="s">
        <v>519</v>
      </c>
      <c r="F524" s="1" t="s">
        <v>520</v>
      </c>
      <c r="G524" s="19">
        <v>4</v>
      </c>
      <c r="H524" s="19">
        <v>48</v>
      </c>
      <c r="I524" s="19">
        <v>52</v>
      </c>
      <c r="J524" s="19">
        <v>46</v>
      </c>
      <c r="K524" s="1" t="s">
        <v>241</v>
      </c>
      <c r="L524" s="2" t="s">
        <v>433</v>
      </c>
      <c r="M524" s="19">
        <v>1983</v>
      </c>
      <c r="N524" s="1" t="s">
        <v>434</v>
      </c>
      <c r="O524" s="19">
        <v>2400</v>
      </c>
      <c r="P524" s="1" t="s">
        <v>5</v>
      </c>
      <c r="Q524" s="19">
        <v>3</v>
      </c>
      <c r="R524" s="19">
        <v>1</v>
      </c>
      <c r="S524" s="19">
        <v>23</v>
      </c>
      <c r="T524" s="14">
        <v>128000</v>
      </c>
      <c r="U524" s="14">
        <v>165000</v>
      </c>
      <c r="V524" s="14">
        <v>40000</v>
      </c>
      <c r="W524" s="4">
        <f t="shared" si="24"/>
        <v>0.2890625</v>
      </c>
      <c r="Z524" s="11">
        <f t="shared" si="25"/>
        <v>0.24242424242424243</v>
      </c>
      <c r="AA524" s="19">
        <f t="shared" si="26"/>
        <v>125000</v>
      </c>
    </row>
    <row r="525" spans="2:27" x14ac:dyDescent="0.45">
      <c r="B525" s="7">
        <v>247</v>
      </c>
      <c r="C525" s="1" t="s">
        <v>6</v>
      </c>
      <c r="D525" s="1" t="s">
        <v>508</v>
      </c>
      <c r="E525" s="1" t="s">
        <v>527</v>
      </c>
      <c r="F525" s="1" t="s">
        <v>526</v>
      </c>
      <c r="G525" s="19">
        <v>5</v>
      </c>
      <c r="H525" s="19">
        <v>35</v>
      </c>
      <c r="I525" s="19">
        <v>45</v>
      </c>
      <c r="J525" s="19">
        <v>51</v>
      </c>
      <c r="K525" s="1" t="s">
        <v>528</v>
      </c>
      <c r="L525" s="2" t="s">
        <v>439</v>
      </c>
      <c r="M525" s="19">
        <v>2010</v>
      </c>
      <c r="N525" s="1" t="s">
        <v>447</v>
      </c>
      <c r="O525" s="19">
        <v>800</v>
      </c>
      <c r="P525" s="1" t="s">
        <v>18</v>
      </c>
      <c r="Q525" s="19">
        <v>3</v>
      </c>
      <c r="R525" s="19">
        <v>2</v>
      </c>
      <c r="S525" s="19">
        <v>33</v>
      </c>
      <c r="T525" s="14">
        <v>154500</v>
      </c>
      <c r="U525" s="14">
        <v>165000</v>
      </c>
      <c r="V525" s="14">
        <v>85000</v>
      </c>
      <c r="W525" s="4">
        <f t="shared" si="24"/>
        <v>6.7961165048543687E-2</v>
      </c>
      <c r="Z525" s="11">
        <f t="shared" si="25"/>
        <v>0.51515151515151514</v>
      </c>
      <c r="AA525" s="19">
        <f t="shared" si="26"/>
        <v>80000</v>
      </c>
    </row>
    <row r="526" spans="2:27" x14ac:dyDescent="0.45">
      <c r="B526" s="7">
        <v>572</v>
      </c>
      <c r="C526" s="1" t="s">
        <v>15</v>
      </c>
      <c r="D526" s="1" t="s">
        <v>607</v>
      </c>
      <c r="E526" s="1" t="s">
        <v>608</v>
      </c>
      <c r="F526" s="1" t="s">
        <v>609</v>
      </c>
      <c r="G526" s="19">
        <v>3</v>
      </c>
      <c r="H526" s="19">
        <v>22</v>
      </c>
      <c r="I526" s="19">
        <v>25</v>
      </c>
      <c r="J526" s="19">
        <v>35</v>
      </c>
      <c r="K526" s="1" t="s">
        <v>429</v>
      </c>
      <c r="L526" s="2" t="s">
        <v>453</v>
      </c>
      <c r="M526" s="19">
        <v>2022</v>
      </c>
      <c r="N526" s="1" t="s">
        <v>434</v>
      </c>
      <c r="O526" s="19">
        <v>1143</v>
      </c>
      <c r="P526" s="1" t="s">
        <v>18</v>
      </c>
      <c r="Q526" s="19">
        <v>3</v>
      </c>
      <c r="R526" s="19">
        <v>2</v>
      </c>
      <c r="S526" s="19">
        <v>33</v>
      </c>
      <c r="T526" s="14">
        <v>0</v>
      </c>
      <c r="U526" s="14">
        <v>165000</v>
      </c>
      <c r="V526" s="14">
        <v>80000</v>
      </c>
      <c r="W526" s="4" t="e">
        <f t="shared" si="24"/>
        <v>#DIV/0!</v>
      </c>
      <c r="Z526" s="11">
        <f t="shared" si="25"/>
        <v>0.48484848484848486</v>
      </c>
      <c r="AA526" s="19">
        <f t="shared" si="26"/>
        <v>85000</v>
      </c>
    </row>
    <row r="527" spans="2:27" x14ac:dyDescent="0.45">
      <c r="B527" s="7">
        <v>641</v>
      </c>
      <c r="C527" s="1" t="s">
        <v>7</v>
      </c>
      <c r="D527" s="1" t="s">
        <v>626</v>
      </c>
      <c r="E527" s="1" t="s">
        <v>637</v>
      </c>
      <c r="F527" s="1" t="s">
        <v>630</v>
      </c>
      <c r="G527" s="19">
        <v>5</v>
      </c>
      <c r="H527" s="19">
        <v>28</v>
      </c>
      <c r="I527" s="19">
        <v>44</v>
      </c>
      <c r="J527" s="19">
        <v>41</v>
      </c>
      <c r="K527" s="1" t="s">
        <v>638</v>
      </c>
      <c r="L527" s="2" t="s">
        <v>433</v>
      </c>
      <c r="M527" s="19">
        <v>1999</v>
      </c>
      <c r="N527" s="1" t="s">
        <v>440</v>
      </c>
      <c r="O527" s="19">
        <v>322</v>
      </c>
      <c r="P527" s="1" t="s">
        <v>18</v>
      </c>
      <c r="Q527" s="19">
        <v>3</v>
      </c>
      <c r="R527" s="19">
        <v>2</v>
      </c>
      <c r="S527" s="19">
        <v>33</v>
      </c>
      <c r="T527" s="14">
        <v>151000</v>
      </c>
      <c r="U527" s="14">
        <v>165000</v>
      </c>
      <c r="V527" s="14">
        <v>60000</v>
      </c>
      <c r="W527" s="4">
        <f t="shared" si="24"/>
        <v>9.2715231788079472E-2</v>
      </c>
      <c r="Z527" s="11">
        <f t="shared" si="25"/>
        <v>0.36363636363636365</v>
      </c>
      <c r="AA527" s="19">
        <f t="shared" si="26"/>
        <v>105000</v>
      </c>
    </row>
    <row r="528" spans="2:27" x14ac:dyDescent="0.45">
      <c r="B528" s="7">
        <v>886</v>
      </c>
      <c r="C528" s="1" t="s">
        <v>20</v>
      </c>
      <c r="D528" s="1" t="s">
        <v>781</v>
      </c>
      <c r="E528" s="1" t="s">
        <v>804</v>
      </c>
      <c r="F528" s="1" t="s">
        <v>805</v>
      </c>
      <c r="G528" s="19">
        <v>6</v>
      </c>
      <c r="H528" s="19">
        <v>48</v>
      </c>
      <c r="I528" s="19">
        <v>42</v>
      </c>
      <c r="J528" s="19">
        <v>38</v>
      </c>
      <c r="K528" s="1" t="s">
        <v>353</v>
      </c>
      <c r="L528" s="2" t="s">
        <v>453</v>
      </c>
      <c r="M528" s="19">
        <v>2025</v>
      </c>
      <c r="N528" s="1" t="s">
        <v>434</v>
      </c>
      <c r="O528" s="19">
        <v>4169</v>
      </c>
      <c r="P528" s="1" t="s">
        <v>18</v>
      </c>
      <c r="Q528" s="19">
        <v>3</v>
      </c>
      <c r="R528" s="19">
        <v>2</v>
      </c>
      <c r="S528" s="19">
        <v>25</v>
      </c>
      <c r="T528" s="14">
        <v>0</v>
      </c>
      <c r="U528" s="14">
        <v>165000</v>
      </c>
      <c r="V528" s="14">
        <v>55000</v>
      </c>
      <c r="W528" s="4" t="e">
        <f t="shared" si="24"/>
        <v>#DIV/0!</v>
      </c>
      <c r="Z528" s="11">
        <f t="shared" si="25"/>
        <v>0.33333333333333331</v>
      </c>
      <c r="AA528" s="19">
        <f t="shared" si="26"/>
        <v>110000</v>
      </c>
    </row>
    <row r="529" spans="2:27" x14ac:dyDescent="0.45">
      <c r="B529" s="7">
        <v>1045</v>
      </c>
      <c r="C529" s="1" t="s">
        <v>232</v>
      </c>
      <c r="D529" s="1" t="s">
        <v>816</v>
      </c>
      <c r="E529" s="1" t="s">
        <v>850</v>
      </c>
      <c r="F529" s="1" t="s">
        <v>849</v>
      </c>
      <c r="G529" s="19">
        <v>4</v>
      </c>
      <c r="H529" s="19">
        <v>22</v>
      </c>
      <c r="I529" s="19">
        <v>28</v>
      </c>
      <c r="J529" s="19">
        <v>36</v>
      </c>
      <c r="K529" s="2" t="s">
        <v>851</v>
      </c>
      <c r="L529" s="2" t="s">
        <v>453</v>
      </c>
      <c r="M529" s="19">
        <v>2021</v>
      </c>
      <c r="N529" s="1" t="s">
        <v>447</v>
      </c>
      <c r="O529" s="19">
        <v>959</v>
      </c>
      <c r="P529" s="1" t="s">
        <v>18</v>
      </c>
      <c r="Q529" s="19">
        <v>3</v>
      </c>
      <c r="R529" s="19">
        <v>2</v>
      </c>
      <c r="S529" s="19">
        <v>25</v>
      </c>
      <c r="T529" s="14">
        <v>110000</v>
      </c>
      <c r="U529" s="14">
        <v>165000</v>
      </c>
      <c r="V529" s="14">
        <v>70000</v>
      </c>
      <c r="W529" s="4">
        <f t="shared" si="24"/>
        <v>0.5</v>
      </c>
      <c r="Z529" s="11">
        <f t="shared" si="25"/>
        <v>0.42424242424242425</v>
      </c>
      <c r="AA529" s="19">
        <f t="shared" si="26"/>
        <v>95000</v>
      </c>
    </row>
    <row r="530" spans="2:27" x14ac:dyDescent="0.45">
      <c r="B530" s="7">
        <v>1117</v>
      </c>
      <c r="C530" s="1" t="s">
        <v>89</v>
      </c>
      <c r="D530" s="1" t="s">
        <v>816</v>
      </c>
      <c r="E530" s="1" t="s">
        <v>857</v>
      </c>
      <c r="F530" s="1" t="s">
        <v>856</v>
      </c>
      <c r="G530" s="19">
        <v>3</v>
      </c>
      <c r="H530" s="19">
        <v>30</v>
      </c>
      <c r="I530" s="19">
        <v>10</v>
      </c>
      <c r="J530" s="19">
        <v>26</v>
      </c>
      <c r="K530" s="2" t="s">
        <v>90</v>
      </c>
      <c r="L530" s="2" t="s">
        <v>439</v>
      </c>
      <c r="M530" s="19">
        <v>2004</v>
      </c>
      <c r="N530" s="1" t="s">
        <v>440</v>
      </c>
      <c r="O530" s="19">
        <v>477</v>
      </c>
      <c r="P530" s="1" t="s">
        <v>18</v>
      </c>
      <c r="Q530" s="19">
        <v>3</v>
      </c>
      <c r="R530" s="19">
        <v>2</v>
      </c>
      <c r="S530" s="19">
        <v>31</v>
      </c>
      <c r="T530" s="14">
        <v>137000</v>
      </c>
      <c r="U530" s="14">
        <v>165000</v>
      </c>
      <c r="V530" s="14">
        <v>76000</v>
      </c>
      <c r="W530" s="4">
        <f t="shared" si="24"/>
        <v>0.20437956204379562</v>
      </c>
      <c r="Z530" s="11">
        <f t="shared" si="25"/>
        <v>0.46060606060606063</v>
      </c>
      <c r="AA530" s="19">
        <f t="shared" si="26"/>
        <v>89000</v>
      </c>
    </row>
    <row r="531" spans="2:27" x14ac:dyDescent="0.45">
      <c r="B531" s="7">
        <v>1127</v>
      </c>
      <c r="C531" s="1" t="s">
        <v>869</v>
      </c>
      <c r="D531" s="1" t="s">
        <v>866</v>
      </c>
      <c r="E531" s="1" t="s">
        <v>870</v>
      </c>
      <c r="F531" s="1" t="s">
        <v>868</v>
      </c>
      <c r="G531" s="19">
        <v>5</v>
      </c>
      <c r="H531" s="19">
        <v>40</v>
      </c>
      <c r="I531" s="19">
        <v>15</v>
      </c>
      <c r="J531" s="19">
        <v>22</v>
      </c>
      <c r="K531" s="1" t="s">
        <v>871</v>
      </c>
      <c r="L531" s="2" t="s">
        <v>433</v>
      </c>
      <c r="M531" s="19">
        <v>1998</v>
      </c>
      <c r="N531" s="1" t="s">
        <v>447</v>
      </c>
      <c r="O531" s="19">
        <v>951</v>
      </c>
      <c r="P531" s="1" t="s">
        <v>18</v>
      </c>
      <c r="Q531" s="19">
        <v>3</v>
      </c>
      <c r="R531" s="19">
        <v>2</v>
      </c>
      <c r="S531" s="19">
        <v>33</v>
      </c>
      <c r="T531" s="14">
        <v>126000</v>
      </c>
      <c r="U531" s="14">
        <v>165000</v>
      </c>
      <c r="V531" s="14">
        <v>65000</v>
      </c>
      <c r="W531" s="4">
        <f t="shared" si="24"/>
        <v>0.30952380952380953</v>
      </c>
      <c r="Z531" s="11">
        <f t="shared" si="25"/>
        <v>0.39393939393939392</v>
      </c>
      <c r="AA531" s="19">
        <f t="shared" si="26"/>
        <v>100000</v>
      </c>
    </row>
    <row r="532" spans="2:27" x14ac:dyDescent="0.45">
      <c r="B532" s="7">
        <v>2286</v>
      </c>
      <c r="C532" s="1" t="s">
        <v>84</v>
      </c>
      <c r="D532" s="1" t="s">
        <v>1194</v>
      </c>
      <c r="E532" s="1" t="s">
        <v>1199</v>
      </c>
      <c r="F532" s="1" t="s">
        <v>1196</v>
      </c>
      <c r="G532" s="19">
        <v>10</v>
      </c>
      <c r="H532" s="19">
        <v>30</v>
      </c>
      <c r="I532" s="19">
        <v>40</v>
      </c>
      <c r="J532" s="19">
        <v>20</v>
      </c>
      <c r="K532" s="2" t="s">
        <v>317</v>
      </c>
      <c r="L532" s="2" t="s">
        <v>433</v>
      </c>
      <c r="M532" s="19">
        <v>1999</v>
      </c>
      <c r="N532" s="1" t="s">
        <v>434</v>
      </c>
      <c r="O532" s="19">
        <v>2282</v>
      </c>
      <c r="P532" s="1" t="s">
        <v>18</v>
      </c>
      <c r="Q532" s="19">
        <v>3</v>
      </c>
      <c r="R532" s="19">
        <v>2</v>
      </c>
      <c r="S532" s="19">
        <v>33</v>
      </c>
      <c r="T532" s="14">
        <v>150000</v>
      </c>
      <c r="U532" s="14">
        <v>165000</v>
      </c>
      <c r="V532" s="14">
        <v>75000</v>
      </c>
      <c r="W532" s="4">
        <f t="shared" si="24"/>
        <v>0.1</v>
      </c>
      <c r="Z532" s="11">
        <f t="shared" si="25"/>
        <v>0.45454545454545453</v>
      </c>
      <c r="AA532" s="19">
        <f t="shared" si="26"/>
        <v>90000</v>
      </c>
    </row>
    <row r="533" spans="2:27" x14ac:dyDescent="0.45">
      <c r="B533" s="7">
        <v>27</v>
      </c>
      <c r="C533" s="1" t="s">
        <v>435</v>
      </c>
      <c r="D533" s="1" t="s">
        <v>436</v>
      </c>
      <c r="E533" s="1" t="s">
        <v>450</v>
      </c>
      <c r="F533" s="1" t="s">
        <v>451</v>
      </c>
      <c r="G533" s="19">
        <v>3</v>
      </c>
      <c r="H533" s="19">
        <v>28</v>
      </c>
      <c r="I533" s="19">
        <v>45</v>
      </c>
      <c r="J533" s="19">
        <v>50</v>
      </c>
      <c r="K533" s="2" t="s">
        <v>360</v>
      </c>
      <c r="L533" s="2" t="s">
        <v>433</v>
      </c>
      <c r="M533" s="19">
        <v>1993</v>
      </c>
      <c r="N533" s="1" t="s">
        <v>434</v>
      </c>
      <c r="O533" s="19">
        <v>1404</v>
      </c>
      <c r="P533" s="1" t="s">
        <v>5</v>
      </c>
      <c r="Q533" s="19">
        <v>2</v>
      </c>
      <c r="R533" s="19">
        <v>1</v>
      </c>
      <c r="S533" s="19">
        <v>17</v>
      </c>
      <c r="T533" s="14">
        <v>135000</v>
      </c>
      <c r="U533" s="14">
        <v>167000</v>
      </c>
      <c r="V533" s="14">
        <v>35000</v>
      </c>
      <c r="W533" s="4">
        <f t="shared" si="24"/>
        <v>0.23703703703703705</v>
      </c>
      <c r="Z533" s="11">
        <f t="shared" si="25"/>
        <v>0.20958083832335328</v>
      </c>
      <c r="AA533" s="19">
        <f t="shared" si="26"/>
        <v>132000</v>
      </c>
    </row>
    <row r="534" spans="2:27" x14ac:dyDescent="0.45">
      <c r="B534" s="7">
        <v>484</v>
      </c>
      <c r="C534" s="1" t="s">
        <v>166</v>
      </c>
      <c r="D534" s="1" t="s">
        <v>555</v>
      </c>
      <c r="E534" s="1" t="s">
        <v>586</v>
      </c>
      <c r="F534" s="1" t="s">
        <v>583</v>
      </c>
      <c r="G534" s="19">
        <v>4</v>
      </c>
      <c r="H534" s="19">
        <v>54</v>
      </c>
      <c r="I534" s="19">
        <v>27</v>
      </c>
      <c r="J534" s="19">
        <v>41</v>
      </c>
      <c r="K534" s="2" t="s">
        <v>167</v>
      </c>
      <c r="L534" s="2" t="s">
        <v>453</v>
      </c>
      <c r="M534" s="19">
        <v>2017</v>
      </c>
      <c r="N534" s="1" t="s">
        <v>434</v>
      </c>
      <c r="O534" s="19">
        <v>1194</v>
      </c>
      <c r="P534" s="1" t="s">
        <v>18</v>
      </c>
      <c r="Q534" s="19">
        <v>3</v>
      </c>
      <c r="R534" s="19">
        <v>2</v>
      </c>
      <c r="S534" s="19">
        <v>34</v>
      </c>
      <c r="T534" s="14">
        <v>168000</v>
      </c>
      <c r="U534" s="14">
        <v>167000</v>
      </c>
      <c r="V534" s="14">
        <v>87000</v>
      </c>
      <c r="W534" s="4">
        <f t="shared" si="24"/>
        <v>-5.9523809523809521E-3</v>
      </c>
      <c r="Z534" s="11">
        <f t="shared" si="25"/>
        <v>0.52095808383233533</v>
      </c>
      <c r="AA534" s="19">
        <f t="shared" si="26"/>
        <v>80000</v>
      </c>
    </row>
    <row r="535" spans="2:27" x14ac:dyDescent="0.45">
      <c r="B535" s="7">
        <v>226</v>
      </c>
      <c r="C535" s="1" t="s">
        <v>6</v>
      </c>
      <c r="D535" s="1" t="s">
        <v>508</v>
      </c>
      <c r="E535" s="1" t="s">
        <v>518</v>
      </c>
      <c r="F535" s="1" t="s">
        <v>509</v>
      </c>
      <c r="G535" s="19">
        <v>3</v>
      </c>
      <c r="H535" s="19">
        <v>46</v>
      </c>
      <c r="I535" s="19">
        <v>50</v>
      </c>
      <c r="J535" s="19">
        <v>44</v>
      </c>
      <c r="K535" s="1" t="s">
        <v>267</v>
      </c>
      <c r="L535" s="2" t="s">
        <v>439</v>
      </c>
      <c r="M535" s="19">
        <v>2000</v>
      </c>
      <c r="N535" s="1" t="s">
        <v>434</v>
      </c>
      <c r="O535" s="19">
        <v>2938</v>
      </c>
      <c r="P535" s="1" t="s">
        <v>18</v>
      </c>
      <c r="Q535" s="19">
        <v>3</v>
      </c>
      <c r="R535" s="19">
        <v>2</v>
      </c>
      <c r="S535" s="19">
        <v>33</v>
      </c>
      <c r="T535" s="14">
        <v>156900</v>
      </c>
      <c r="U535" s="14">
        <v>168000</v>
      </c>
      <c r="V535" s="14">
        <v>73000</v>
      </c>
      <c r="W535" s="4">
        <f t="shared" si="24"/>
        <v>7.0745697896749518E-2</v>
      </c>
      <c r="Z535" s="11">
        <f t="shared" si="25"/>
        <v>0.43452380952380953</v>
      </c>
      <c r="AA535" s="19">
        <f t="shared" si="26"/>
        <v>95000</v>
      </c>
    </row>
    <row r="536" spans="2:27" x14ac:dyDescent="0.45">
      <c r="B536" s="7">
        <v>449</v>
      </c>
      <c r="C536" s="1" t="s">
        <v>166</v>
      </c>
      <c r="D536" s="1" t="s">
        <v>555</v>
      </c>
      <c r="E536" s="1" t="s">
        <v>576</v>
      </c>
      <c r="F536" s="1" t="s">
        <v>577</v>
      </c>
      <c r="G536" s="19">
        <v>5</v>
      </c>
      <c r="H536" s="19">
        <v>48</v>
      </c>
      <c r="I536" s="19">
        <v>21</v>
      </c>
      <c r="J536" s="19">
        <v>35</v>
      </c>
      <c r="K536" s="2" t="s">
        <v>172</v>
      </c>
      <c r="L536" s="2" t="s">
        <v>453</v>
      </c>
      <c r="M536" s="19">
        <v>2017</v>
      </c>
      <c r="N536" s="1" t="s">
        <v>447</v>
      </c>
      <c r="O536" s="19">
        <v>603</v>
      </c>
      <c r="P536" s="1" t="s">
        <v>18</v>
      </c>
      <c r="Q536" s="19">
        <v>3</v>
      </c>
      <c r="R536" s="19">
        <v>2</v>
      </c>
      <c r="S536" s="19">
        <v>34</v>
      </c>
      <c r="T536" s="14">
        <v>150000</v>
      </c>
      <c r="U536" s="14">
        <v>168000</v>
      </c>
      <c r="V536" s="14">
        <v>85000</v>
      </c>
      <c r="W536" s="4">
        <f t="shared" si="24"/>
        <v>0.12</v>
      </c>
      <c r="Z536" s="11">
        <f t="shared" si="25"/>
        <v>0.50595238095238093</v>
      </c>
      <c r="AA536" s="19">
        <f t="shared" si="26"/>
        <v>83000</v>
      </c>
    </row>
    <row r="537" spans="2:27" x14ac:dyDescent="0.45">
      <c r="B537" s="7">
        <v>474</v>
      </c>
      <c r="C537" s="1" t="s">
        <v>166</v>
      </c>
      <c r="D537" s="1" t="s">
        <v>555</v>
      </c>
      <c r="E537" s="1" t="s">
        <v>584</v>
      </c>
      <c r="F537" s="1" t="s">
        <v>577</v>
      </c>
      <c r="G537" s="19">
        <v>5</v>
      </c>
      <c r="H537" s="19">
        <v>47</v>
      </c>
      <c r="I537" s="19">
        <v>20</v>
      </c>
      <c r="J537" s="19">
        <v>34</v>
      </c>
      <c r="K537" s="2" t="s">
        <v>169</v>
      </c>
      <c r="L537" s="2" t="s">
        <v>453</v>
      </c>
      <c r="M537" s="19">
        <v>2016</v>
      </c>
      <c r="N537" s="1" t="s">
        <v>440</v>
      </c>
      <c r="O537" s="19">
        <v>363</v>
      </c>
      <c r="P537" s="1" t="s">
        <v>18</v>
      </c>
      <c r="Q537" s="19">
        <v>3</v>
      </c>
      <c r="R537" s="19">
        <v>2</v>
      </c>
      <c r="S537" s="19">
        <v>36</v>
      </c>
      <c r="T537" s="14">
        <v>167000</v>
      </c>
      <c r="U537" s="14">
        <v>168000</v>
      </c>
      <c r="V537" s="14">
        <v>90000</v>
      </c>
      <c r="W537" s="4">
        <f t="shared" si="24"/>
        <v>5.9880239520958087E-3</v>
      </c>
      <c r="Z537" s="11">
        <f t="shared" si="25"/>
        <v>0.5357142857142857</v>
      </c>
      <c r="AA537" s="19">
        <f t="shared" si="26"/>
        <v>78000</v>
      </c>
    </row>
    <row r="538" spans="2:27" x14ac:dyDescent="0.45">
      <c r="B538" s="7">
        <v>2134</v>
      </c>
      <c r="C538" s="1" t="s">
        <v>92</v>
      </c>
      <c r="D538" s="1" t="s">
        <v>1150</v>
      </c>
      <c r="E538" s="1" t="s">
        <v>1157</v>
      </c>
      <c r="F538" s="1" t="s">
        <v>1156</v>
      </c>
      <c r="G538" s="19">
        <v>3</v>
      </c>
      <c r="H538" s="19">
        <v>50</v>
      </c>
      <c r="I538" s="19">
        <v>20</v>
      </c>
      <c r="J538" s="19">
        <v>30</v>
      </c>
      <c r="K538" s="2" t="s">
        <v>390</v>
      </c>
      <c r="L538" s="2" t="s">
        <v>453</v>
      </c>
      <c r="M538" s="19">
        <v>2023</v>
      </c>
      <c r="N538" s="1" t="s">
        <v>434</v>
      </c>
      <c r="O538" s="19">
        <v>1256</v>
      </c>
      <c r="P538" s="1" t="s">
        <v>18</v>
      </c>
      <c r="Q538" s="19">
        <v>3</v>
      </c>
      <c r="R538" s="19">
        <v>2</v>
      </c>
      <c r="S538" s="19">
        <v>33</v>
      </c>
      <c r="T538" s="14">
        <v>172000</v>
      </c>
      <c r="U538" s="14">
        <v>168000</v>
      </c>
      <c r="V538" s="14">
        <v>80000</v>
      </c>
      <c r="W538" s="4">
        <f t="shared" si="24"/>
        <v>-2.3255813953488372E-2</v>
      </c>
      <c r="Z538" s="11">
        <f t="shared" si="25"/>
        <v>0.47619047619047616</v>
      </c>
      <c r="AA538" s="19">
        <f t="shared" si="26"/>
        <v>88000</v>
      </c>
    </row>
    <row r="539" spans="2:27" x14ac:dyDescent="0.45">
      <c r="B539" s="7">
        <v>906</v>
      </c>
      <c r="C539" s="1" t="s">
        <v>161</v>
      </c>
      <c r="D539" s="1" t="s">
        <v>781</v>
      </c>
      <c r="E539" s="1" t="s">
        <v>810</v>
      </c>
      <c r="F539" s="1" t="s">
        <v>795</v>
      </c>
      <c r="G539" s="19">
        <v>5</v>
      </c>
      <c r="H539" s="19">
        <v>40</v>
      </c>
      <c r="I539" s="19">
        <v>33</v>
      </c>
      <c r="J539" s="19">
        <v>30</v>
      </c>
      <c r="K539" s="1" t="s">
        <v>162</v>
      </c>
      <c r="L539" s="2" t="s">
        <v>439</v>
      </c>
      <c r="M539" s="19">
        <v>2013</v>
      </c>
      <c r="N539" s="1" t="s">
        <v>434</v>
      </c>
      <c r="O539" s="19">
        <v>2397</v>
      </c>
      <c r="P539" s="1" t="s">
        <v>18</v>
      </c>
      <c r="Q539" s="19">
        <v>3</v>
      </c>
      <c r="R539" s="19">
        <v>2</v>
      </c>
      <c r="S539" s="19">
        <v>33</v>
      </c>
      <c r="T539" s="14">
        <v>170000</v>
      </c>
      <c r="U539" s="14">
        <v>169000</v>
      </c>
      <c r="V539" s="14">
        <v>74000</v>
      </c>
      <c r="W539" s="4">
        <f t="shared" si="24"/>
        <v>-5.8823529411764705E-3</v>
      </c>
      <c r="Z539" s="11">
        <f t="shared" si="25"/>
        <v>0.43786982248520712</v>
      </c>
      <c r="AA539" s="19">
        <f t="shared" si="26"/>
        <v>95000</v>
      </c>
    </row>
    <row r="540" spans="2:27" x14ac:dyDescent="0.45">
      <c r="B540" s="7">
        <v>235</v>
      </c>
      <c r="C540" s="1" t="s">
        <v>510</v>
      </c>
      <c r="D540" s="1" t="s">
        <v>508</v>
      </c>
      <c r="E540" s="1" t="s">
        <v>521</v>
      </c>
      <c r="F540" s="1" t="s">
        <v>522</v>
      </c>
      <c r="G540" s="19">
        <v>5</v>
      </c>
      <c r="H540" s="19">
        <v>50</v>
      </c>
      <c r="I540" s="19">
        <v>54</v>
      </c>
      <c r="J540" s="19">
        <v>48</v>
      </c>
      <c r="K540" s="1" t="s">
        <v>219</v>
      </c>
      <c r="L540" s="2" t="s">
        <v>433</v>
      </c>
      <c r="M540" s="19">
        <v>1995</v>
      </c>
      <c r="N540" s="1" t="s">
        <v>440</v>
      </c>
      <c r="O540" s="19">
        <v>448</v>
      </c>
      <c r="P540" s="1" t="s">
        <v>18</v>
      </c>
      <c r="Q540" s="19">
        <v>3</v>
      </c>
      <c r="R540" s="19">
        <v>2</v>
      </c>
      <c r="S540" s="19">
        <v>30</v>
      </c>
      <c r="T540" s="14">
        <v>145000</v>
      </c>
      <c r="U540" s="14">
        <v>169500</v>
      </c>
      <c r="V540" s="14">
        <v>63000</v>
      </c>
      <c r="W540" s="4">
        <f t="shared" si="24"/>
        <v>0.16896551724137931</v>
      </c>
      <c r="Z540" s="11">
        <f t="shared" si="25"/>
        <v>0.37168141592920356</v>
      </c>
      <c r="AA540" s="19">
        <f t="shared" si="26"/>
        <v>106500</v>
      </c>
    </row>
    <row r="541" spans="2:27" x14ac:dyDescent="0.45">
      <c r="B541" s="7">
        <v>1469</v>
      </c>
      <c r="C541" s="1" t="s">
        <v>76</v>
      </c>
      <c r="D541" s="1" t="s">
        <v>964</v>
      </c>
      <c r="E541" s="1" t="s">
        <v>967</v>
      </c>
      <c r="F541" s="1" t="s">
        <v>968</v>
      </c>
      <c r="G541" s="19">
        <v>5</v>
      </c>
      <c r="H541" s="19">
        <v>30</v>
      </c>
      <c r="I541" s="19">
        <v>25</v>
      </c>
      <c r="J541" s="19">
        <v>18</v>
      </c>
      <c r="K541" s="1" t="s">
        <v>969</v>
      </c>
      <c r="L541" s="2" t="s">
        <v>439</v>
      </c>
      <c r="M541" s="19">
        <v>2000</v>
      </c>
      <c r="N541" s="1" t="s">
        <v>434</v>
      </c>
      <c r="O541" s="19">
        <v>2123</v>
      </c>
      <c r="P541" s="1" t="s">
        <v>5</v>
      </c>
      <c r="Q541" s="19">
        <v>3</v>
      </c>
      <c r="R541" s="19">
        <v>1</v>
      </c>
      <c r="S541" s="19">
        <v>25</v>
      </c>
      <c r="T541" s="14">
        <v>120000</v>
      </c>
      <c r="U541" s="14">
        <v>169500</v>
      </c>
      <c r="V541" s="14">
        <v>57000</v>
      </c>
      <c r="W541" s="4">
        <f t="shared" si="24"/>
        <v>0.41249999999999998</v>
      </c>
      <c r="Z541" s="11">
        <f t="shared" si="25"/>
        <v>0.33628318584070799</v>
      </c>
      <c r="AA541" s="19">
        <f t="shared" si="26"/>
        <v>112500</v>
      </c>
    </row>
    <row r="542" spans="2:27" x14ac:dyDescent="0.45">
      <c r="B542" s="7">
        <v>205</v>
      </c>
      <c r="C542" s="1" t="s">
        <v>442</v>
      </c>
      <c r="D542" s="1" t="s">
        <v>436</v>
      </c>
      <c r="E542" s="1" t="s">
        <v>505</v>
      </c>
      <c r="F542" s="1" t="s">
        <v>506</v>
      </c>
      <c r="G542" s="19">
        <v>5</v>
      </c>
      <c r="H542" s="19">
        <v>40</v>
      </c>
      <c r="I542" s="19">
        <v>65</v>
      </c>
      <c r="J542" s="19">
        <v>72</v>
      </c>
      <c r="K542" s="2" t="s">
        <v>507</v>
      </c>
      <c r="L542" s="2" t="s">
        <v>439</v>
      </c>
      <c r="M542" s="19">
        <v>2012</v>
      </c>
      <c r="N542" s="1" t="s">
        <v>447</v>
      </c>
      <c r="O542" s="19">
        <v>912</v>
      </c>
      <c r="P542" s="1" t="s">
        <v>18</v>
      </c>
      <c r="Q542" s="19">
        <v>3</v>
      </c>
      <c r="R542" s="19">
        <v>2</v>
      </c>
      <c r="S542" s="19">
        <v>24</v>
      </c>
      <c r="T542" s="14">
        <v>152000</v>
      </c>
      <c r="U542" s="14">
        <v>170000</v>
      </c>
      <c r="V542" s="14">
        <v>73000</v>
      </c>
      <c r="W542" s="4">
        <f t="shared" si="24"/>
        <v>0.11842105263157894</v>
      </c>
      <c r="Z542" s="11">
        <f t="shared" si="25"/>
        <v>0.42941176470588233</v>
      </c>
      <c r="AA542" s="19">
        <f t="shared" si="26"/>
        <v>97000</v>
      </c>
    </row>
    <row r="543" spans="2:27" x14ac:dyDescent="0.45">
      <c r="B543" s="7">
        <v>221</v>
      </c>
      <c r="C543" s="1" t="s">
        <v>6</v>
      </c>
      <c r="D543" s="1" t="s">
        <v>508</v>
      </c>
      <c r="E543" s="1" t="s">
        <v>515</v>
      </c>
      <c r="F543" s="1" t="s">
        <v>516</v>
      </c>
      <c r="G543" s="19">
        <v>6</v>
      </c>
      <c r="H543" s="19">
        <v>32</v>
      </c>
      <c r="I543" s="19">
        <v>44</v>
      </c>
      <c r="J543" s="19">
        <v>48</v>
      </c>
      <c r="K543" s="1" t="s">
        <v>269</v>
      </c>
      <c r="L543" s="2" t="s">
        <v>453</v>
      </c>
      <c r="M543" s="19">
        <v>2016</v>
      </c>
      <c r="N543" s="1" t="s">
        <v>440</v>
      </c>
      <c r="O543" s="19">
        <v>482</v>
      </c>
      <c r="P543" s="1" t="s">
        <v>18</v>
      </c>
      <c r="Q543" s="19">
        <v>3</v>
      </c>
      <c r="R543" s="19">
        <v>2</v>
      </c>
      <c r="S543" s="19">
        <v>33</v>
      </c>
      <c r="T543" s="14">
        <v>155000</v>
      </c>
      <c r="U543" s="14">
        <v>170000</v>
      </c>
      <c r="V543" s="14">
        <v>91500</v>
      </c>
      <c r="W543" s="4">
        <f t="shared" si="24"/>
        <v>9.6774193548387094E-2</v>
      </c>
      <c r="Z543" s="11">
        <f t="shared" si="25"/>
        <v>0.53823529411764703</v>
      </c>
      <c r="AA543" s="19">
        <f t="shared" si="26"/>
        <v>78500</v>
      </c>
    </row>
    <row r="544" spans="2:27" x14ac:dyDescent="0.45">
      <c r="B544" s="7">
        <v>620</v>
      </c>
      <c r="C544" s="1" t="s">
        <v>7</v>
      </c>
      <c r="D544" s="1" t="s">
        <v>626</v>
      </c>
      <c r="E544" s="1" t="s">
        <v>631</v>
      </c>
      <c r="F544" s="1" t="s">
        <v>632</v>
      </c>
      <c r="G544" s="19">
        <v>5</v>
      </c>
      <c r="H544" s="19">
        <v>22</v>
      </c>
      <c r="I544" s="19">
        <v>38</v>
      </c>
      <c r="J544" s="19">
        <v>36</v>
      </c>
      <c r="K544" s="1" t="s">
        <v>365</v>
      </c>
      <c r="L544" s="2" t="s">
        <v>433</v>
      </c>
      <c r="M544" s="19">
        <v>1999</v>
      </c>
      <c r="N544" s="1" t="s">
        <v>440</v>
      </c>
      <c r="O544" s="19">
        <v>314</v>
      </c>
      <c r="P544" s="1" t="s">
        <v>18</v>
      </c>
      <c r="Q544" s="19">
        <v>3</v>
      </c>
      <c r="R544" s="19">
        <v>2</v>
      </c>
      <c r="S544" s="19">
        <v>33</v>
      </c>
      <c r="T544" s="14">
        <v>133000</v>
      </c>
      <c r="U544" s="14">
        <v>170000</v>
      </c>
      <c r="V544" s="14">
        <v>66000</v>
      </c>
      <c r="W544" s="4">
        <f t="shared" si="24"/>
        <v>0.2781954887218045</v>
      </c>
      <c r="Z544" s="11">
        <f t="shared" si="25"/>
        <v>0.38823529411764707</v>
      </c>
      <c r="AA544" s="19">
        <f t="shared" si="26"/>
        <v>104000</v>
      </c>
    </row>
    <row r="545" spans="2:27" x14ac:dyDescent="0.45">
      <c r="B545" s="7">
        <v>946</v>
      </c>
      <c r="C545" s="1" t="s">
        <v>20</v>
      </c>
      <c r="D545" s="1" t="s">
        <v>781</v>
      </c>
      <c r="E545" s="1" t="s">
        <v>811</v>
      </c>
      <c r="F545" s="1" t="s">
        <v>794</v>
      </c>
      <c r="G545" s="19">
        <v>5</v>
      </c>
      <c r="H545" s="19">
        <v>34</v>
      </c>
      <c r="I545" s="19">
        <v>31</v>
      </c>
      <c r="J545" s="19">
        <v>24</v>
      </c>
      <c r="K545" s="1" t="s">
        <v>21</v>
      </c>
      <c r="L545" s="2" t="s">
        <v>453</v>
      </c>
      <c r="M545" s="19">
        <v>2021</v>
      </c>
      <c r="N545" s="1" t="s">
        <v>447</v>
      </c>
      <c r="O545" s="19">
        <v>823</v>
      </c>
      <c r="P545" s="1" t="s">
        <v>18</v>
      </c>
      <c r="Q545" s="19">
        <v>3</v>
      </c>
      <c r="R545" s="19">
        <v>2</v>
      </c>
      <c r="S545" s="19">
        <v>29</v>
      </c>
      <c r="T545" s="14">
        <v>135000</v>
      </c>
      <c r="U545" s="14">
        <v>170000</v>
      </c>
      <c r="V545" s="14">
        <v>72000</v>
      </c>
      <c r="W545" s="4">
        <f t="shared" si="24"/>
        <v>0.25925925925925924</v>
      </c>
      <c r="Z545" s="11">
        <f t="shared" si="25"/>
        <v>0.42352941176470588</v>
      </c>
      <c r="AA545" s="19">
        <f t="shared" si="26"/>
        <v>98000</v>
      </c>
    </row>
    <row r="546" spans="2:27" x14ac:dyDescent="0.45">
      <c r="B546" s="7">
        <v>1010</v>
      </c>
      <c r="C546" s="1" t="s">
        <v>232</v>
      </c>
      <c r="D546" s="1" t="s">
        <v>816</v>
      </c>
      <c r="E546" s="1" t="s">
        <v>838</v>
      </c>
      <c r="F546" s="1" t="s">
        <v>818</v>
      </c>
      <c r="G546" s="19">
        <v>10</v>
      </c>
      <c r="H546" s="19">
        <v>25</v>
      </c>
      <c r="I546" s="19">
        <v>30</v>
      </c>
      <c r="J546" s="19">
        <v>38</v>
      </c>
      <c r="K546" s="2" t="s">
        <v>254</v>
      </c>
      <c r="L546" s="2" t="s">
        <v>453</v>
      </c>
      <c r="M546" s="19">
        <v>2024</v>
      </c>
      <c r="N546" s="1" t="s">
        <v>447</v>
      </c>
      <c r="O546" s="19">
        <v>771</v>
      </c>
      <c r="P546" s="1" t="s">
        <v>18</v>
      </c>
      <c r="Q546" s="19">
        <v>3</v>
      </c>
      <c r="R546" s="19">
        <v>2</v>
      </c>
      <c r="S546" s="19">
        <v>30</v>
      </c>
      <c r="T546" s="14">
        <v>0</v>
      </c>
      <c r="U546" s="14">
        <v>170000</v>
      </c>
      <c r="V546" s="14">
        <v>69000</v>
      </c>
      <c r="W546" s="4" t="e">
        <f t="shared" si="24"/>
        <v>#DIV/0!</v>
      </c>
      <c r="Z546" s="11">
        <f t="shared" si="25"/>
        <v>0.40588235294117647</v>
      </c>
      <c r="AA546" s="19">
        <f t="shared" si="26"/>
        <v>101000</v>
      </c>
    </row>
    <row r="547" spans="2:27" x14ac:dyDescent="0.45">
      <c r="B547" s="7">
        <v>1061</v>
      </c>
      <c r="C547" s="1" t="s">
        <v>89</v>
      </c>
      <c r="D547" s="1" t="s">
        <v>816</v>
      </c>
      <c r="E547" s="1" t="s">
        <v>852</v>
      </c>
      <c r="F547" s="1" t="s">
        <v>853</v>
      </c>
      <c r="G547" s="19">
        <v>6</v>
      </c>
      <c r="H547" s="19">
        <v>20</v>
      </c>
      <c r="I547" s="19">
        <v>25</v>
      </c>
      <c r="J547" s="19">
        <v>32</v>
      </c>
      <c r="K547" s="2" t="s">
        <v>234</v>
      </c>
      <c r="L547" s="2" t="s">
        <v>433</v>
      </c>
      <c r="M547" s="19">
        <v>1993</v>
      </c>
      <c r="N547" s="1" t="s">
        <v>434</v>
      </c>
      <c r="O547" s="19">
        <v>1080</v>
      </c>
      <c r="P547" s="1" t="s">
        <v>18</v>
      </c>
      <c r="Q547" s="19">
        <v>2</v>
      </c>
      <c r="R547" s="19">
        <v>1</v>
      </c>
      <c r="S547" s="19">
        <v>23</v>
      </c>
      <c r="T547" s="14">
        <v>124000</v>
      </c>
      <c r="U547" s="14">
        <v>170000</v>
      </c>
      <c r="V547" s="14">
        <v>53500</v>
      </c>
      <c r="W547" s="4">
        <f t="shared" si="24"/>
        <v>0.37096774193548387</v>
      </c>
      <c r="Z547" s="11">
        <f t="shared" si="25"/>
        <v>0.31470588235294117</v>
      </c>
      <c r="AA547" s="19">
        <f t="shared" si="26"/>
        <v>116500</v>
      </c>
    </row>
    <row r="548" spans="2:27" x14ac:dyDescent="0.45">
      <c r="B548" s="7">
        <v>1092</v>
      </c>
      <c r="C548" s="1" t="s">
        <v>14</v>
      </c>
      <c r="D548" s="1" t="s">
        <v>816</v>
      </c>
      <c r="E548" s="1" t="s">
        <v>859</v>
      </c>
      <c r="F548" s="1" t="s">
        <v>818</v>
      </c>
      <c r="G548" s="19">
        <v>4</v>
      </c>
      <c r="H548" s="19">
        <v>26</v>
      </c>
      <c r="I548" s="19">
        <v>22</v>
      </c>
      <c r="J548" s="19">
        <v>32</v>
      </c>
      <c r="K548" s="2" t="s">
        <v>146</v>
      </c>
      <c r="L548" s="2" t="s">
        <v>439</v>
      </c>
      <c r="M548" s="19">
        <v>2004</v>
      </c>
      <c r="N548" s="1" t="s">
        <v>434</v>
      </c>
      <c r="O548" s="19">
        <v>1656</v>
      </c>
      <c r="P548" s="1" t="s">
        <v>18</v>
      </c>
      <c r="Q548" s="19">
        <v>3</v>
      </c>
      <c r="R548" s="19">
        <v>2</v>
      </c>
      <c r="S548" s="19">
        <v>32</v>
      </c>
      <c r="T548" s="14">
        <v>150000</v>
      </c>
      <c r="U548" s="14">
        <v>170000</v>
      </c>
      <c r="V548" s="14">
        <v>80000</v>
      </c>
      <c r="W548" s="4">
        <f t="shared" si="24"/>
        <v>0.13333333333333333</v>
      </c>
      <c r="Z548" s="11">
        <f t="shared" si="25"/>
        <v>0.47058823529411764</v>
      </c>
      <c r="AA548" s="19">
        <f t="shared" si="26"/>
        <v>90000</v>
      </c>
    </row>
    <row r="549" spans="2:27" x14ac:dyDescent="0.45">
      <c r="B549" s="7">
        <v>1106</v>
      </c>
      <c r="C549" s="1" t="s">
        <v>89</v>
      </c>
      <c r="D549" s="1" t="s">
        <v>816</v>
      </c>
      <c r="E549" s="1" t="s">
        <v>860</v>
      </c>
      <c r="F549" s="1" t="s">
        <v>861</v>
      </c>
      <c r="G549" s="19">
        <v>5</v>
      </c>
      <c r="H549" s="19">
        <v>35</v>
      </c>
      <c r="I549" s="19">
        <v>10</v>
      </c>
      <c r="J549" s="19">
        <v>32</v>
      </c>
      <c r="K549" s="2" t="s">
        <v>108</v>
      </c>
      <c r="L549" s="2" t="s">
        <v>433</v>
      </c>
      <c r="M549" s="19">
        <v>1993</v>
      </c>
      <c r="N549" s="1" t="s">
        <v>434</v>
      </c>
      <c r="O549" s="19">
        <v>1628</v>
      </c>
      <c r="P549" s="1" t="s">
        <v>18</v>
      </c>
      <c r="Q549" s="19">
        <v>3</v>
      </c>
      <c r="R549" s="19">
        <v>2</v>
      </c>
      <c r="S549" s="19">
        <v>33</v>
      </c>
      <c r="T549" s="14">
        <v>159500</v>
      </c>
      <c r="U549" s="14">
        <v>170000</v>
      </c>
      <c r="V549" s="14">
        <v>75000</v>
      </c>
      <c r="W549" s="4">
        <f t="shared" si="24"/>
        <v>6.5830721003134793E-2</v>
      </c>
      <c r="Z549" s="11">
        <f t="shared" si="25"/>
        <v>0.44117647058823528</v>
      </c>
      <c r="AA549" s="19">
        <f t="shared" si="26"/>
        <v>95000</v>
      </c>
    </row>
    <row r="550" spans="2:27" x14ac:dyDescent="0.45">
      <c r="B550" s="7">
        <v>1939</v>
      </c>
      <c r="C550" s="1" t="s">
        <v>185</v>
      </c>
      <c r="D550" s="1" t="s">
        <v>1077</v>
      </c>
      <c r="E550" s="1" t="s">
        <v>1097</v>
      </c>
      <c r="F550" s="1" t="s">
        <v>1098</v>
      </c>
      <c r="G550" s="19">
        <v>5</v>
      </c>
      <c r="H550" s="19">
        <v>45</v>
      </c>
      <c r="I550" s="19">
        <v>25</v>
      </c>
      <c r="J550" s="19">
        <v>32</v>
      </c>
      <c r="K550" s="1" t="s">
        <v>192</v>
      </c>
      <c r="L550" s="2" t="s">
        <v>433</v>
      </c>
      <c r="M550" s="19">
        <v>1997</v>
      </c>
      <c r="N550" s="1" t="s">
        <v>440</v>
      </c>
      <c r="O550" s="19">
        <v>242</v>
      </c>
      <c r="P550" s="1" t="s">
        <v>18</v>
      </c>
      <c r="Q550" s="19">
        <v>3</v>
      </c>
      <c r="R550" s="19">
        <v>1</v>
      </c>
      <c r="S550" s="19">
        <v>25</v>
      </c>
      <c r="T550" s="14">
        <v>125000</v>
      </c>
      <c r="U550" s="14">
        <v>170000</v>
      </c>
      <c r="V550" s="14">
        <v>90000</v>
      </c>
      <c r="W550" s="4">
        <f t="shared" si="24"/>
        <v>0.36</v>
      </c>
      <c r="Z550" s="11">
        <f t="shared" si="25"/>
        <v>0.52941176470588236</v>
      </c>
      <c r="AA550" s="19">
        <f t="shared" si="26"/>
        <v>80000</v>
      </c>
    </row>
    <row r="551" spans="2:27" x14ac:dyDescent="0.45">
      <c r="B551" s="7">
        <v>1978</v>
      </c>
      <c r="C551" s="1" t="s">
        <v>11</v>
      </c>
      <c r="D551" s="1" t="s">
        <v>1107</v>
      </c>
      <c r="E551" s="1" t="s">
        <v>1111</v>
      </c>
      <c r="F551" s="1" t="s">
        <v>1112</v>
      </c>
      <c r="G551" s="19">
        <v>6</v>
      </c>
      <c r="H551" s="19">
        <v>40</v>
      </c>
      <c r="I551" s="19">
        <v>12</v>
      </c>
      <c r="J551" s="19">
        <v>20</v>
      </c>
      <c r="K551" s="1" t="s">
        <v>326</v>
      </c>
      <c r="L551" s="2" t="s">
        <v>453</v>
      </c>
      <c r="M551" s="19">
        <v>2021</v>
      </c>
      <c r="N551" s="1" t="s">
        <v>440</v>
      </c>
      <c r="O551" s="19">
        <v>308</v>
      </c>
      <c r="P551" s="1" t="s">
        <v>18</v>
      </c>
      <c r="Q551" s="19">
        <v>3</v>
      </c>
      <c r="R551" s="19">
        <v>2</v>
      </c>
      <c r="S551" s="19">
        <v>33</v>
      </c>
      <c r="T551" s="14">
        <v>115000</v>
      </c>
      <c r="U551" s="14">
        <v>170000</v>
      </c>
      <c r="V551" s="14">
        <v>90000</v>
      </c>
      <c r="W551" s="4">
        <f t="shared" si="24"/>
        <v>0.47826086956521741</v>
      </c>
      <c r="Z551" s="11">
        <f t="shared" si="25"/>
        <v>0.52941176470588236</v>
      </c>
      <c r="AA551" s="19">
        <f t="shared" si="26"/>
        <v>80000</v>
      </c>
    </row>
    <row r="552" spans="2:27" x14ac:dyDescent="0.45">
      <c r="B552" s="7">
        <v>2003</v>
      </c>
      <c r="C552" s="1" t="s">
        <v>11</v>
      </c>
      <c r="D552" s="1" t="s">
        <v>1107</v>
      </c>
      <c r="E552" s="1" t="s">
        <v>1120</v>
      </c>
      <c r="F552" s="1" t="s">
        <v>1119</v>
      </c>
      <c r="G552" s="19">
        <v>4</v>
      </c>
      <c r="H552" s="19">
        <v>35</v>
      </c>
      <c r="I552" s="19">
        <v>15</v>
      </c>
      <c r="J552" s="19">
        <v>25</v>
      </c>
      <c r="K552" s="1" t="s">
        <v>291</v>
      </c>
      <c r="L552" s="2" t="s">
        <v>453</v>
      </c>
      <c r="M552" s="19">
        <v>2021</v>
      </c>
      <c r="N552" s="1" t="s">
        <v>434</v>
      </c>
      <c r="O552" s="19">
        <v>1008</v>
      </c>
      <c r="P552" s="1" t="s">
        <v>18</v>
      </c>
      <c r="Q552" s="19">
        <v>3</v>
      </c>
      <c r="R552" s="19">
        <v>2</v>
      </c>
      <c r="S552" s="19">
        <v>25</v>
      </c>
      <c r="T552" s="14">
        <v>137000</v>
      </c>
      <c r="U552" s="14">
        <v>170000</v>
      </c>
      <c r="V552" s="14">
        <v>73000</v>
      </c>
      <c r="W552" s="4">
        <f t="shared" si="24"/>
        <v>0.24087591240875914</v>
      </c>
      <c r="Z552" s="11">
        <f t="shared" si="25"/>
        <v>0.42941176470588233</v>
      </c>
      <c r="AA552" s="19">
        <f t="shared" si="26"/>
        <v>97000</v>
      </c>
    </row>
    <row r="553" spans="2:27" x14ac:dyDescent="0.45">
      <c r="B553" s="7">
        <v>2059</v>
      </c>
      <c r="C553" s="1" t="s">
        <v>98</v>
      </c>
      <c r="D553" s="1" t="s">
        <v>1107</v>
      </c>
      <c r="E553" s="1" t="s">
        <v>1113</v>
      </c>
      <c r="F553" s="1" t="s">
        <v>1114</v>
      </c>
      <c r="G553" s="19">
        <v>5</v>
      </c>
      <c r="H553" s="19">
        <v>38</v>
      </c>
      <c r="I553" s="19">
        <v>10</v>
      </c>
      <c r="J553" s="19">
        <v>22</v>
      </c>
      <c r="K553" s="1" t="s">
        <v>99</v>
      </c>
      <c r="L553" s="2" t="s">
        <v>439</v>
      </c>
      <c r="M553" s="19">
        <v>2010</v>
      </c>
      <c r="N553" s="1" t="s">
        <v>440</v>
      </c>
      <c r="O553" s="19">
        <v>299</v>
      </c>
      <c r="P553" s="1" t="s">
        <v>18</v>
      </c>
      <c r="Q553" s="19">
        <v>3</v>
      </c>
      <c r="R553" s="19">
        <v>2</v>
      </c>
      <c r="S553" s="19">
        <v>33</v>
      </c>
      <c r="T553" s="14">
        <v>148900</v>
      </c>
      <c r="U553" s="14">
        <v>170000</v>
      </c>
      <c r="V553" s="14">
        <v>82000</v>
      </c>
      <c r="W553" s="4">
        <f t="shared" si="24"/>
        <v>0.1417058428475487</v>
      </c>
      <c r="Z553" s="11">
        <f t="shared" si="25"/>
        <v>0.4823529411764706</v>
      </c>
      <c r="AA553" s="19">
        <f t="shared" si="26"/>
        <v>88000</v>
      </c>
    </row>
    <row r="554" spans="2:27" x14ac:dyDescent="0.45">
      <c r="B554" s="7">
        <v>2303</v>
      </c>
      <c r="C554" s="1" t="s">
        <v>84</v>
      </c>
      <c r="D554" s="1" t="s">
        <v>1194</v>
      </c>
      <c r="E554" s="1" t="s">
        <v>1202</v>
      </c>
      <c r="F554" s="1" t="s">
        <v>1203</v>
      </c>
      <c r="G554" s="19">
        <v>5</v>
      </c>
      <c r="H554" s="19">
        <v>25</v>
      </c>
      <c r="I554" s="19">
        <v>40</v>
      </c>
      <c r="J554" s="19">
        <v>20</v>
      </c>
      <c r="K554" s="2" t="s">
        <v>85</v>
      </c>
      <c r="L554" s="2" t="s">
        <v>439</v>
      </c>
      <c r="M554" s="19">
        <v>2002</v>
      </c>
      <c r="N554" s="1" t="s">
        <v>434</v>
      </c>
      <c r="O554" s="19">
        <v>5150</v>
      </c>
      <c r="P554" s="1" t="s">
        <v>18</v>
      </c>
      <c r="Q554" s="19">
        <v>3</v>
      </c>
      <c r="R554" s="19">
        <v>2</v>
      </c>
      <c r="S554" s="19">
        <v>33</v>
      </c>
      <c r="T554" s="14">
        <v>159000</v>
      </c>
      <c r="U554" s="14">
        <v>170000</v>
      </c>
      <c r="V554" s="14">
        <v>70000</v>
      </c>
      <c r="W554" s="4">
        <f t="shared" si="24"/>
        <v>6.9182389937106917E-2</v>
      </c>
      <c r="Z554" s="11">
        <f t="shared" si="25"/>
        <v>0.41176470588235292</v>
      </c>
      <c r="AA554" s="19">
        <f t="shared" si="26"/>
        <v>100000</v>
      </c>
    </row>
    <row r="555" spans="2:27" x14ac:dyDescent="0.45">
      <c r="B555" s="7">
        <v>887</v>
      </c>
      <c r="C555" s="1" t="s">
        <v>20</v>
      </c>
      <c r="D555" s="1" t="s">
        <v>781</v>
      </c>
      <c r="E555" s="1" t="s">
        <v>804</v>
      </c>
      <c r="F555" s="1" t="s">
        <v>805</v>
      </c>
      <c r="G555" s="19">
        <v>6</v>
      </c>
      <c r="H555" s="19">
        <v>48</v>
      </c>
      <c r="I555" s="19">
        <v>42</v>
      </c>
      <c r="J555" s="19">
        <v>38</v>
      </c>
      <c r="K555" s="1" t="s">
        <v>353</v>
      </c>
      <c r="L555" s="2" t="s">
        <v>453</v>
      </c>
      <c r="M555" s="19">
        <v>2025</v>
      </c>
      <c r="N555" s="1" t="s">
        <v>434</v>
      </c>
      <c r="O555" s="19">
        <v>4169</v>
      </c>
      <c r="P555" s="1" t="s">
        <v>18</v>
      </c>
      <c r="Q555" s="19">
        <v>3</v>
      </c>
      <c r="R555" s="19">
        <v>2</v>
      </c>
      <c r="S555" s="19">
        <v>33</v>
      </c>
      <c r="T555" s="14">
        <v>0</v>
      </c>
      <c r="U555" s="14">
        <v>172000</v>
      </c>
      <c r="V555" s="14">
        <v>68000</v>
      </c>
      <c r="W555" s="4" t="e">
        <f t="shared" si="24"/>
        <v>#DIV/0!</v>
      </c>
      <c r="Z555" s="11">
        <f t="shared" si="25"/>
        <v>0.39534883720930231</v>
      </c>
      <c r="AA555" s="19">
        <f t="shared" si="26"/>
        <v>104000</v>
      </c>
    </row>
    <row r="556" spans="2:27" x14ac:dyDescent="0.45">
      <c r="B556" s="7">
        <v>615</v>
      </c>
      <c r="C556" s="1" t="s">
        <v>72</v>
      </c>
      <c r="D556" s="1" t="s">
        <v>626</v>
      </c>
      <c r="E556" s="1" t="s">
        <v>627</v>
      </c>
      <c r="F556" s="1" t="s">
        <v>628</v>
      </c>
      <c r="G556" s="19">
        <v>5</v>
      </c>
      <c r="H556" s="19">
        <v>25</v>
      </c>
      <c r="I556" s="19">
        <v>42</v>
      </c>
      <c r="J556" s="19">
        <v>38</v>
      </c>
      <c r="K556" s="1" t="s">
        <v>629</v>
      </c>
      <c r="L556" s="2" t="s">
        <v>433</v>
      </c>
      <c r="M556" s="19">
        <v>1997</v>
      </c>
      <c r="N556" s="1" t="s">
        <v>434</v>
      </c>
      <c r="O556" s="19">
        <v>1592</v>
      </c>
      <c r="P556" s="1" t="s">
        <v>5</v>
      </c>
      <c r="Q556" s="19">
        <v>2</v>
      </c>
      <c r="R556" s="19">
        <v>1</v>
      </c>
      <c r="S556" s="19">
        <v>25</v>
      </c>
      <c r="T556" s="14">
        <v>130000</v>
      </c>
      <c r="U556" s="14">
        <v>172500</v>
      </c>
      <c r="V556" s="14">
        <v>57000</v>
      </c>
      <c r="W556" s="4">
        <f t="shared" si="24"/>
        <v>0.32692307692307693</v>
      </c>
      <c r="Z556" s="11">
        <f t="shared" si="25"/>
        <v>0.33043478260869563</v>
      </c>
      <c r="AA556" s="19">
        <f t="shared" si="26"/>
        <v>115500</v>
      </c>
    </row>
    <row r="557" spans="2:27" x14ac:dyDescent="0.45">
      <c r="B557" s="7">
        <v>244</v>
      </c>
      <c r="C557" s="1" t="s">
        <v>510</v>
      </c>
      <c r="D557" s="1" t="s">
        <v>508</v>
      </c>
      <c r="E557" s="1" t="s">
        <v>524</v>
      </c>
      <c r="F557" s="1" t="s">
        <v>525</v>
      </c>
      <c r="G557" s="19">
        <v>10</v>
      </c>
      <c r="H557" s="19">
        <v>35</v>
      </c>
      <c r="I557" s="19">
        <v>38</v>
      </c>
      <c r="J557" s="19">
        <v>35</v>
      </c>
      <c r="K557" s="1" t="s">
        <v>136</v>
      </c>
      <c r="L557" s="2" t="s">
        <v>453</v>
      </c>
      <c r="M557" s="19">
        <v>2017</v>
      </c>
      <c r="N557" s="1" t="s">
        <v>447</v>
      </c>
      <c r="O557" s="19">
        <v>999</v>
      </c>
      <c r="P557" s="1" t="s">
        <v>18</v>
      </c>
      <c r="Q557" s="19">
        <v>3</v>
      </c>
      <c r="R557" s="19">
        <v>2</v>
      </c>
      <c r="S557" s="19">
        <v>33</v>
      </c>
      <c r="T557" s="14">
        <v>176000</v>
      </c>
      <c r="U557" s="14">
        <v>173000</v>
      </c>
      <c r="V557" s="14">
        <v>90000</v>
      </c>
      <c r="W557" s="4">
        <f t="shared" si="24"/>
        <v>-1.7045454545454544E-2</v>
      </c>
      <c r="Z557" s="11">
        <f t="shared" si="25"/>
        <v>0.52023121387283233</v>
      </c>
      <c r="AA557" s="19">
        <f t="shared" si="26"/>
        <v>83000</v>
      </c>
    </row>
    <row r="558" spans="2:27" x14ac:dyDescent="0.45">
      <c r="B558" s="7">
        <v>948</v>
      </c>
      <c r="C558" s="1" t="s">
        <v>14</v>
      </c>
      <c r="D558" s="1" t="s">
        <v>816</v>
      </c>
      <c r="E558" s="1" t="s">
        <v>817</v>
      </c>
      <c r="F558" s="1" t="s">
        <v>818</v>
      </c>
      <c r="G558" s="19">
        <v>5</v>
      </c>
      <c r="H558" s="19">
        <v>20</v>
      </c>
      <c r="I558" s="19">
        <v>25</v>
      </c>
      <c r="J558" s="19">
        <v>30</v>
      </c>
      <c r="K558" s="2" t="s">
        <v>431</v>
      </c>
      <c r="L558" s="2" t="s">
        <v>439</v>
      </c>
      <c r="M558" s="19">
        <v>2013</v>
      </c>
      <c r="N558" s="1" t="s">
        <v>447</v>
      </c>
      <c r="O558" s="19">
        <v>882</v>
      </c>
      <c r="P558" s="1" t="s">
        <v>18</v>
      </c>
      <c r="Q558" s="19">
        <v>3</v>
      </c>
      <c r="R558" s="19">
        <v>2</v>
      </c>
      <c r="S558" s="19">
        <v>34</v>
      </c>
      <c r="T558" s="14">
        <v>157000</v>
      </c>
      <c r="U558" s="14">
        <v>173000</v>
      </c>
      <c r="V558" s="14">
        <v>82000</v>
      </c>
      <c r="W558" s="4">
        <f t="shared" si="24"/>
        <v>0.10191082802547771</v>
      </c>
      <c r="Z558" s="11">
        <f t="shared" si="25"/>
        <v>0.47398843930635837</v>
      </c>
      <c r="AA558" s="19">
        <f t="shared" si="26"/>
        <v>91000</v>
      </c>
    </row>
    <row r="559" spans="2:27" x14ac:dyDescent="0.45">
      <c r="B559" s="7">
        <v>1109</v>
      </c>
      <c r="C559" s="1" t="s">
        <v>89</v>
      </c>
      <c r="D559" s="1" t="s">
        <v>816</v>
      </c>
      <c r="E559" s="1" t="s">
        <v>862</v>
      </c>
      <c r="F559" s="1" t="s">
        <v>861</v>
      </c>
      <c r="G559" s="19">
        <v>8</v>
      </c>
      <c r="H559" s="19">
        <v>36</v>
      </c>
      <c r="I559" s="19">
        <v>12</v>
      </c>
      <c r="J559" s="19">
        <v>34</v>
      </c>
      <c r="K559" s="2" t="s">
        <v>107</v>
      </c>
      <c r="L559" s="2" t="s">
        <v>439</v>
      </c>
      <c r="M559" s="19">
        <v>2003</v>
      </c>
      <c r="N559" s="1" t="s">
        <v>447</v>
      </c>
      <c r="O559" s="19">
        <v>609</v>
      </c>
      <c r="P559" s="1" t="s">
        <v>18</v>
      </c>
      <c r="Q559" s="19">
        <v>3</v>
      </c>
      <c r="R559" s="19">
        <v>2</v>
      </c>
      <c r="S559" s="19">
        <v>32</v>
      </c>
      <c r="T559" s="14">
        <v>157500</v>
      </c>
      <c r="U559" s="14">
        <v>173000</v>
      </c>
      <c r="V559" s="14">
        <v>78000</v>
      </c>
      <c r="W559" s="4">
        <f t="shared" si="24"/>
        <v>9.841269841269841E-2</v>
      </c>
      <c r="Z559" s="11">
        <f t="shared" si="25"/>
        <v>0.45086705202312138</v>
      </c>
      <c r="AA559" s="19">
        <f t="shared" si="26"/>
        <v>95000</v>
      </c>
    </row>
    <row r="560" spans="2:27" x14ac:dyDescent="0.45">
      <c r="B560" s="7">
        <v>1996</v>
      </c>
      <c r="C560" s="1" t="s">
        <v>100</v>
      </c>
      <c r="D560" s="1" t="s">
        <v>1107</v>
      </c>
      <c r="E560" s="1" t="s">
        <v>1117</v>
      </c>
      <c r="F560" s="1" t="s">
        <v>1112</v>
      </c>
      <c r="G560" s="19">
        <v>5</v>
      </c>
      <c r="H560" s="19">
        <v>38</v>
      </c>
      <c r="I560" s="19">
        <v>10</v>
      </c>
      <c r="J560" s="19">
        <v>18</v>
      </c>
      <c r="K560" s="1" t="s">
        <v>1118</v>
      </c>
      <c r="L560" s="2" t="s">
        <v>453</v>
      </c>
      <c r="M560" s="19">
        <v>2017</v>
      </c>
      <c r="N560" s="1" t="s">
        <v>434</v>
      </c>
      <c r="O560" s="19">
        <v>1221</v>
      </c>
      <c r="P560" s="1" t="s">
        <v>18</v>
      </c>
      <c r="Q560" s="19">
        <v>3</v>
      </c>
      <c r="R560" s="19">
        <v>2</v>
      </c>
      <c r="S560" s="19">
        <v>25</v>
      </c>
      <c r="T560" s="14">
        <v>144000</v>
      </c>
      <c r="U560" s="14">
        <v>173000</v>
      </c>
      <c r="V560" s="14">
        <v>74000</v>
      </c>
      <c r="W560" s="4">
        <f t="shared" si="24"/>
        <v>0.2013888888888889</v>
      </c>
      <c r="Z560" s="11">
        <f t="shared" si="25"/>
        <v>0.4277456647398844</v>
      </c>
      <c r="AA560" s="19">
        <f t="shared" si="26"/>
        <v>99000</v>
      </c>
    </row>
    <row r="561" spans="2:27" x14ac:dyDescent="0.45">
      <c r="B561" s="7">
        <v>666</v>
      </c>
      <c r="C561" s="1" t="s">
        <v>62</v>
      </c>
      <c r="D561" s="1" t="s">
        <v>626</v>
      </c>
      <c r="E561" s="1" t="s">
        <v>649</v>
      </c>
      <c r="F561" s="1" t="s">
        <v>641</v>
      </c>
      <c r="G561" s="19">
        <v>4</v>
      </c>
      <c r="H561" s="19">
        <v>32</v>
      </c>
      <c r="I561" s="19">
        <v>48</v>
      </c>
      <c r="J561" s="19">
        <v>37</v>
      </c>
      <c r="K561" s="1" t="s">
        <v>64</v>
      </c>
      <c r="L561" s="2" t="s">
        <v>433</v>
      </c>
      <c r="M561" s="19">
        <v>1996</v>
      </c>
      <c r="N561" s="1" t="s">
        <v>447</v>
      </c>
      <c r="O561" s="19">
        <v>654</v>
      </c>
      <c r="P561" s="1" t="s">
        <v>5</v>
      </c>
      <c r="Q561" s="19">
        <v>3</v>
      </c>
      <c r="R561" s="19">
        <v>1</v>
      </c>
      <c r="S561" s="19">
        <v>28</v>
      </c>
      <c r="T561" s="14">
        <v>123500</v>
      </c>
      <c r="U561" s="14">
        <v>174000</v>
      </c>
      <c r="V561" s="14">
        <v>69000</v>
      </c>
      <c r="W561" s="4">
        <f t="shared" si="24"/>
        <v>0.40890688259109309</v>
      </c>
      <c r="Z561" s="11">
        <f t="shared" si="25"/>
        <v>0.39655172413793105</v>
      </c>
      <c r="AA561" s="19">
        <f t="shared" si="26"/>
        <v>105000</v>
      </c>
    </row>
    <row r="562" spans="2:27" x14ac:dyDescent="0.45">
      <c r="B562" s="7">
        <v>1574</v>
      </c>
      <c r="C562" s="1" t="s">
        <v>8</v>
      </c>
      <c r="D562" s="1" t="s">
        <v>964</v>
      </c>
      <c r="E562" s="1" t="s">
        <v>992</v>
      </c>
      <c r="F562" s="1" t="s">
        <v>975</v>
      </c>
      <c r="G562" s="19">
        <v>4</v>
      </c>
      <c r="H562" s="19">
        <v>32</v>
      </c>
      <c r="I562" s="19">
        <v>30</v>
      </c>
      <c r="J562" s="19">
        <v>22</v>
      </c>
      <c r="K562" s="1" t="s">
        <v>74</v>
      </c>
      <c r="L562" s="2" t="s">
        <v>433</v>
      </c>
      <c r="M562" s="19">
        <v>1994</v>
      </c>
      <c r="N562" s="1" t="s">
        <v>434</v>
      </c>
      <c r="O562" s="19">
        <v>1267</v>
      </c>
      <c r="P562" s="1" t="s">
        <v>5</v>
      </c>
      <c r="Q562" s="19">
        <v>3</v>
      </c>
      <c r="R562" s="19">
        <v>2</v>
      </c>
      <c r="S562" s="19">
        <v>31</v>
      </c>
      <c r="T562" s="14">
        <v>140000</v>
      </c>
      <c r="U562" s="14">
        <v>174000</v>
      </c>
      <c r="V562" s="14">
        <v>65000</v>
      </c>
      <c r="W562" s="4">
        <f t="shared" si="24"/>
        <v>0.24285714285714285</v>
      </c>
      <c r="Z562" s="11">
        <f t="shared" si="25"/>
        <v>0.37356321839080459</v>
      </c>
      <c r="AA562" s="19">
        <f t="shared" si="26"/>
        <v>109000</v>
      </c>
    </row>
    <row r="563" spans="2:27" x14ac:dyDescent="0.45">
      <c r="B563" s="7">
        <v>293</v>
      </c>
      <c r="C563" s="1" t="s">
        <v>510</v>
      </c>
      <c r="D563" s="1" t="s">
        <v>508</v>
      </c>
      <c r="E563" s="1" t="s">
        <v>511</v>
      </c>
      <c r="F563" s="1" t="s">
        <v>512</v>
      </c>
      <c r="G563" s="19">
        <v>6</v>
      </c>
      <c r="H563" s="19">
        <v>50</v>
      </c>
      <c r="I563" s="19">
        <v>55</v>
      </c>
      <c r="J563" s="19">
        <v>48</v>
      </c>
      <c r="K563" s="1" t="s">
        <v>27</v>
      </c>
      <c r="L563" s="2" t="s">
        <v>439</v>
      </c>
      <c r="M563" s="19">
        <v>2008</v>
      </c>
      <c r="N563" s="1" t="s">
        <v>434</v>
      </c>
      <c r="O563" s="19">
        <v>3226</v>
      </c>
      <c r="P563" s="1" t="s">
        <v>18</v>
      </c>
      <c r="Q563" s="19">
        <v>3</v>
      </c>
      <c r="R563" s="19">
        <v>2</v>
      </c>
      <c r="S563" s="19">
        <v>25</v>
      </c>
      <c r="T563" s="14">
        <v>132000</v>
      </c>
      <c r="U563" s="14">
        <v>175000</v>
      </c>
      <c r="V563" s="14">
        <v>70000</v>
      </c>
      <c r="W563" s="4">
        <f t="shared" si="24"/>
        <v>0.32575757575757575</v>
      </c>
      <c r="Z563" s="11">
        <f t="shared" si="25"/>
        <v>0.4</v>
      </c>
      <c r="AA563" s="19">
        <f t="shared" si="26"/>
        <v>105000</v>
      </c>
    </row>
    <row r="564" spans="2:27" x14ac:dyDescent="0.45">
      <c r="B564" s="7">
        <v>467</v>
      </c>
      <c r="C564" s="1" t="s">
        <v>166</v>
      </c>
      <c r="D564" s="1" t="s">
        <v>555</v>
      </c>
      <c r="E564" s="1" t="s">
        <v>581</v>
      </c>
      <c r="F564" s="1" t="s">
        <v>579</v>
      </c>
      <c r="G564" s="19">
        <v>7</v>
      </c>
      <c r="H564" s="19">
        <v>51</v>
      </c>
      <c r="I564" s="19">
        <v>24</v>
      </c>
      <c r="J564" s="19">
        <v>38</v>
      </c>
      <c r="K564" s="2" t="s">
        <v>582</v>
      </c>
      <c r="L564" s="2" t="s">
        <v>439</v>
      </c>
      <c r="M564" s="19">
        <v>2014</v>
      </c>
      <c r="N564" s="1" t="s">
        <v>440</v>
      </c>
      <c r="O564" s="19">
        <v>420</v>
      </c>
      <c r="P564" s="1" t="s">
        <v>18</v>
      </c>
      <c r="Q564" s="19">
        <v>3</v>
      </c>
      <c r="R564" s="19">
        <v>2</v>
      </c>
      <c r="S564" s="19">
        <v>33</v>
      </c>
      <c r="T564" s="14">
        <v>129000</v>
      </c>
      <c r="U564" s="14">
        <v>175000</v>
      </c>
      <c r="V564" s="14">
        <v>86000</v>
      </c>
      <c r="W564" s="4">
        <f t="shared" si="24"/>
        <v>0.35658914728682173</v>
      </c>
      <c r="Z564" s="11">
        <f t="shared" si="25"/>
        <v>0.49142857142857144</v>
      </c>
      <c r="AA564" s="19">
        <f t="shared" si="26"/>
        <v>89000</v>
      </c>
    </row>
    <row r="565" spans="2:27" x14ac:dyDescent="0.45">
      <c r="B565" s="7">
        <v>947</v>
      </c>
      <c r="C565" s="1" t="s">
        <v>20</v>
      </c>
      <c r="D565" s="1" t="s">
        <v>781</v>
      </c>
      <c r="E565" s="1" t="s">
        <v>811</v>
      </c>
      <c r="F565" s="1" t="s">
        <v>794</v>
      </c>
      <c r="G565" s="19">
        <v>5</v>
      </c>
      <c r="H565" s="19">
        <v>34</v>
      </c>
      <c r="I565" s="19">
        <v>31</v>
      </c>
      <c r="J565" s="19">
        <v>24</v>
      </c>
      <c r="K565" s="1" t="s">
        <v>21</v>
      </c>
      <c r="L565" s="2" t="s">
        <v>453</v>
      </c>
      <c r="M565" s="19">
        <v>2021</v>
      </c>
      <c r="N565" s="1" t="s">
        <v>447</v>
      </c>
      <c r="O565" s="19">
        <v>823</v>
      </c>
      <c r="P565" s="1" t="s">
        <v>18</v>
      </c>
      <c r="Q565" s="19">
        <v>3</v>
      </c>
      <c r="R565" s="19">
        <v>2</v>
      </c>
      <c r="S565" s="19">
        <v>25</v>
      </c>
      <c r="T565" s="14">
        <v>142000</v>
      </c>
      <c r="U565" s="14">
        <v>175000</v>
      </c>
      <c r="V565" s="14">
        <v>69000</v>
      </c>
      <c r="W565" s="4">
        <f t="shared" si="24"/>
        <v>0.23239436619718309</v>
      </c>
      <c r="Z565" s="11">
        <f t="shared" si="25"/>
        <v>0.39428571428571429</v>
      </c>
      <c r="AA565" s="19">
        <f t="shared" si="26"/>
        <v>106000</v>
      </c>
    </row>
    <row r="566" spans="2:27" x14ac:dyDescent="0.45">
      <c r="B566" s="7">
        <v>1014</v>
      </c>
      <c r="C566" s="1" t="s">
        <v>14</v>
      </c>
      <c r="D566" s="1" t="s">
        <v>816</v>
      </c>
      <c r="E566" s="1" t="s">
        <v>839</v>
      </c>
      <c r="F566" s="1" t="s">
        <v>818</v>
      </c>
      <c r="G566" s="19">
        <v>7</v>
      </c>
      <c r="H566" s="19">
        <v>18</v>
      </c>
      <c r="I566" s="19">
        <v>24</v>
      </c>
      <c r="J566" s="19">
        <v>32</v>
      </c>
      <c r="K566" s="2" t="s">
        <v>253</v>
      </c>
      <c r="L566" s="2" t="s">
        <v>453</v>
      </c>
      <c r="M566" s="19">
        <v>2016</v>
      </c>
      <c r="N566" s="1" t="s">
        <v>440</v>
      </c>
      <c r="O566" s="19">
        <v>471</v>
      </c>
      <c r="P566" s="1" t="s">
        <v>18</v>
      </c>
      <c r="Q566" s="19">
        <v>3</v>
      </c>
      <c r="R566" s="19">
        <v>2</v>
      </c>
      <c r="S566" s="19">
        <v>29</v>
      </c>
      <c r="T566" s="14">
        <v>160000</v>
      </c>
      <c r="U566" s="14">
        <v>175000</v>
      </c>
      <c r="V566" s="14">
        <v>78000</v>
      </c>
      <c r="W566" s="4">
        <f t="shared" si="24"/>
        <v>9.375E-2</v>
      </c>
      <c r="Z566" s="11">
        <f t="shared" si="25"/>
        <v>0.44571428571428573</v>
      </c>
      <c r="AA566" s="19">
        <f t="shared" si="26"/>
        <v>97000</v>
      </c>
    </row>
    <row r="567" spans="2:27" x14ac:dyDescent="0.45">
      <c r="B567" s="7">
        <v>1035</v>
      </c>
      <c r="C567" s="1" t="s">
        <v>14</v>
      </c>
      <c r="D567" s="1" t="s">
        <v>816</v>
      </c>
      <c r="E567" s="1" t="s">
        <v>846</v>
      </c>
      <c r="F567" s="1" t="s">
        <v>818</v>
      </c>
      <c r="G567" s="19">
        <v>5</v>
      </c>
      <c r="H567" s="19">
        <v>20</v>
      </c>
      <c r="I567" s="19">
        <v>25</v>
      </c>
      <c r="J567" s="19">
        <v>30</v>
      </c>
      <c r="K567" s="2" t="s">
        <v>847</v>
      </c>
      <c r="L567" s="2" t="s">
        <v>439</v>
      </c>
      <c r="M567" s="19">
        <v>2007</v>
      </c>
      <c r="N567" s="1" t="s">
        <v>434</v>
      </c>
      <c r="O567" s="19">
        <v>1122</v>
      </c>
      <c r="P567" s="1" t="s">
        <v>18</v>
      </c>
      <c r="Q567" s="19">
        <v>3</v>
      </c>
      <c r="R567" s="19">
        <v>2</v>
      </c>
      <c r="S567" s="19">
        <v>24</v>
      </c>
      <c r="T567" s="14">
        <v>129000</v>
      </c>
      <c r="U567" s="14">
        <v>175000</v>
      </c>
      <c r="V567" s="14">
        <v>63000</v>
      </c>
      <c r="W567" s="4">
        <f t="shared" si="24"/>
        <v>0.35658914728682173</v>
      </c>
      <c r="Z567" s="11">
        <f t="shared" si="25"/>
        <v>0.36</v>
      </c>
      <c r="AA567" s="19">
        <f t="shared" si="26"/>
        <v>112000</v>
      </c>
    </row>
    <row r="568" spans="2:27" x14ac:dyDescent="0.45">
      <c r="B568" s="7">
        <v>1178</v>
      </c>
      <c r="C568" s="1" t="s">
        <v>869</v>
      </c>
      <c r="D568" s="1" t="s">
        <v>866</v>
      </c>
      <c r="E568" s="1" t="s">
        <v>885</v>
      </c>
      <c r="F568" s="1" t="s">
        <v>886</v>
      </c>
      <c r="G568" s="19">
        <v>10</v>
      </c>
      <c r="H568" s="19">
        <v>48</v>
      </c>
      <c r="I568" s="19">
        <v>20</v>
      </c>
      <c r="J568" s="19">
        <v>32</v>
      </c>
      <c r="K568" s="1" t="s">
        <v>177</v>
      </c>
      <c r="L568" s="2" t="s">
        <v>453</v>
      </c>
      <c r="M568" s="19">
        <v>2019</v>
      </c>
      <c r="N568" s="1" t="s">
        <v>440</v>
      </c>
      <c r="O568" s="19">
        <v>385</v>
      </c>
      <c r="P568" s="1" t="s">
        <v>18</v>
      </c>
      <c r="Q568" s="19">
        <v>3</v>
      </c>
      <c r="R568" s="19">
        <v>2</v>
      </c>
      <c r="S568" s="19">
        <v>33</v>
      </c>
      <c r="T568" s="14">
        <v>170500</v>
      </c>
      <c r="U568" s="14">
        <v>175000</v>
      </c>
      <c r="V568" s="14">
        <v>100000</v>
      </c>
      <c r="W568" s="4">
        <f t="shared" si="24"/>
        <v>2.6392961876832845E-2</v>
      </c>
      <c r="Z568" s="11">
        <f t="shared" si="25"/>
        <v>0.5714285714285714</v>
      </c>
      <c r="AA568" s="19">
        <f t="shared" si="26"/>
        <v>75000</v>
      </c>
    </row>
    <row r="569" spans="2:27" x14ac:dyDescent="0.45">
      <c r="B569" s="7">
        <v>1557</v>
      </c>
      <c r="C569" s="1" t="s">
        <v>8</v>
      </c>
      <c r="D569" s="1" t="s">
        <v>964</v>
      </c>
      <c r="E569" s="1" t="s">
        <v>990</v>
      </c>
      <c r="F569" s="1" t="s">
        <v>974</v>
      </c>
      <c r="G569" s="19">
        <v>7</v>
      </c>
      <c r="H569" s="19">
        <v>28</v>
      </c>
      <c r="I569" s="19">
        <v>30</v>
      </c>
      <c r="J569" s="19">
        <v>25</v>
      </c>
      <c r="K569" s="1" t="s">
        <v>106</v>
      </c>
      <c r="L569" s="2" t="s">
        <v>439</v>
      </c>
      <c r="M569" s="19">
        <v>2001</v>
      </c>
      <c r="N569" s="1" t="s">
        <v>434</v>
      </c>
      <c r="O569" s="19">
        <v>1150</v>
      </c>
      <c r="P569" s="1" t="s">
        <v>18</v>
      </c>
      <c r="Q569" s="19">
        <v>3</v>
      </c>
      <c r="R569" s="19">
        <v>1</v>
      </c>
      <c r="S569" s="19">
        <v>25</v>
      </c>
      <c r="T569" s="14">
        <v>128000</v>
      </c>
      <c r="U569" s="14">
        <v>175000</v>
      </c>
      <c r="V569" s="14">
        <v>58000</v>
      </c>
      <c r="W569" s="4">
        <f t="shared" si="24"/>
        <v>0.3671875</v>
      </c>
      <c r="Z569" s="11">
        <f t="shared" si="25"/>
        <v>0.33142857142857141</v>
      </c>
      <c r="AA569" s="19">
        <f t="shared" si="26"/>
        <v>117000</v>
      </c>
    </row>
    <row r="570" spans="2:27" x14ac:dyDescent="0.45">
      <c r="B570" s="7">
        <v>1660</v>
      </c>
      <c r="C570" s="1" t="s">
        <v>137</v>
      </c>
      <c r="D570" s="1" t="s">
        <v>998</v>
      </c>
      <c r="E570" s="1" t="s">
        <v>1022</v>
      </c>
      <c r="F570" s="1" t="s">
        <v>1017</v>
      </c>
      <c r="G570" s="19">
        <v>3</v>
      </c>
      <c r="H570" s="19">
        <v>45</v>
      </c>
      <c r="I570" s="19">
        <v>42</v>
      </c>
      <c r="J570" s="19">
        <v>30</v>
      </c>
      <c r="K570" s="1" t="s">
        <v>138</v>
      </c>
      <c r="L570" s="2" t="s">
        <v>453</v>
      </c>
      <c r="M570" s="19">
        <v>2019</v>
      </c>
      <c r="N570" s="1" t="s">
        <v>434</v>
      </c>
      <c r="O570" s="19">
        <v>2352</v>
      </c>
      <c r="P570" s="1" t="s">
        <v>18</v>
      </c>
      <c r="Q570" s="19">
        <v>3</v>
      </c>
      <c r="R570" s="19">
        <v>2</v>
      </c>
      <c r="S570" s="19">
        <v>33</v>
      </c>
      <c r="T570" s="14">
        <v>155000</v>
      </c>
      <c r="U570" s="14">
        <v>175000</v>
      </c>
      <c r="V570" s="14">
        <v>90000</v>
      </c>
      <c r="W570" s="4">
        <f t="shared" si="24"/>
        <v>0.12903225806451613</v>
      </c>
      <c r="Z570" s="11">
        <f t="shared" si="25"/>
        <v>0.51428571428571423</v>
      </c>
      <c r="AA570" s="19">
        <f t="shared" si="26"/>
        <v>85000</v>
      </c>
    </row>
    <row r="571" spans="2:27" x14ac:dyDescent="0.45">
      <c r="B571" s="7">
        <v>1940</v>
      </c>
      <c r="C571" s="1" t="s">
        <v>143</v>
      </c>
      <c r="D571" s="1" t="s">
        <v>1077</v>
      </c>
      <c r="E571" s="1" t="s">
        <v>1097</v>
      </c>
      <c r="F571" s="1" t="s">
        <v>1098</v>
      </c>
      <c r="G571" s="19">
        <v>5</v>
      </c>
      <c r="H571" s="19">
        <v>45</v>
      </c>
      <c r="I571" s="19">
        <v>25</v>
      </c>
      <c r="J571" s="19">
        <v>32</v>
      </c>
      <c r="K571" s="1" t="s">
        <v>191</v>
      </c>
      <c r="L571" s="2" t="s">
        <v>433</v>
      </c>
      <c r="M571" s="19">
        <v>1997</v>
      </c>
      <c r="N571" s="1" t="s">
        <v>447</v>
      </c>
      <c r="O571" s="19">
        <v>972</v>
      </c>
      <c r="P571" s="1" t="s">
        <v>18</v>
      </c>
      <c r="Q571" s="19">
        <v>3</v>
      </c>
      <c r="R571" s="19">
        <v>2</v>
      </c>
      <c r="S571" s="19">
        <v>33</v>
      </c>
      <c r="T571" s="14">
        <v>158000</v>
      </c>
      <c r="U571" s="14">
        <v>175000</v>
      </c>
      <c r="V571" s="14">
        <v>82000</v>
      </c>
      <c r="W571" s="4">
        <f t="shared" si="24"/>
        <v>0.10759493670886076</v>
      </c>
      <c r="Z571" s="11">
        <f t="shared" si="25"/>
        <v>0.46857142857142858</v>
      </c>
      <c r="AA571" s="19">
        <f t="shared" si="26"/>
        <v>93000</v>
      </c>
    </row>
    <row r="572" spans="2:27" x14ac:dyDescent="0.45">
      <c r="B572" s="7">
        <v>2043</v>
      </c>
      <c r="C572" s="1" t="s">
        <v>100</v>
      </c>
      <c r="D572" s="1" t="s">
        <v>1107</v>
      </c>
      <c r="E572" s="1" t="s">
        <v>1132</v>
      </c>
      <c r="F572" s="1" t="s">
        <v>1116</v>
      </c>
      <c r="G572" s="19">
        <v>5</v>
      </c>
      <c r="H572" s="19">
        <v>32</v>
      </c>
      <c r="I572" s="19">
        <v>10</v>
      </c>
      <c r="J572" s="19">
        <v>22</v>
      </c>
      <c r="K572" s="1" t="s">
        <v>104</v>
      </c>
      <c r="L572" s="2" t="s">
        <v>439</v>
      </c>
      <c r="M572" s="19">
        <v>2000</v>
      </c>
      <c r="N572" s="1" t="s">
        <v>447</v>
      </c>
      <c r="O572" s="19">
        <v>976</v>
      </c>
      <c r="P572" s="1" t="s">
        <v>18</v>
      </c>
      <c r="Q572" s="19">
        <v>3</v>
      </c>
      <c r="R572" s="19">
        <v>2</v>
      </c>
      <c r="S572" s="19">
        <v>33</v>
      </c>
      <c r="T572" s="14">
        <v>150000</v>
      </c>
      <c r="U572" s="14">
        <v>175000</v>
      </c>
      <c r="V572" s="14">
        <v>72000</v>
      </c>
      <c r="W572" s="4">
        <f t="shared" si="24"/>
        <v>0.16666666666666666</v>
      </c>
      <c r="Z572" s="11">
        <f t="shared" si="25"/>
        <v>0.41142857142857142</v>
      </c>
      <c r="AA572" s="19">
        <f t="shared" si="26"/>
        <v>103000</v>
      </c>
    </row>
    <row r="573" spans="2:27" x14ac:dyDescent="0.45">
      <c r="B573" s="7">
        <v>2282</v>
      </c>
      <c r="C573" s="1" t="s">
        <v>84</v>
      </c>
      <c r="D573" s="1" t="s">
        <v>1194</v>
      </c>
      <c r="E573" s="1" t="s">
        <v>1197</v>
      </c>
      <c r="F573" s="1" t="s">
        <v>1198</v>
      </c>
      <c r="G573" s="19">
        <v>5</v>
      </c>
      <c r="H573" s="19">
        <v>45</v>
      </c>
      <c r="I573" s="19">
        <v>20</v>
      </c>
      <c r="J573" s="19">
        <v>10</v>
      </c>
      <c r="K573" s="1" t="s">
        <v>387</v>
      </c>
      <c r="L573" s="2" t="s">
        <v>439</v>
      </c>
      <c r="M573" s="19">
        <v>2001</v>
      </c>
      <c r="N573" s="1" t="s">
        <v>447</v>
      </c>
      <c r="O573" s="19">
        <v>712</v>
      </c>
      <c r="P573" s="1" t="s">
        <v>18</v>
      </c>
      <c r="Q573" s="19">
        <v>3</v>
      </c>
      <c r="R573" s="19">
        <v>2</v>
      </c>
      <c r="S573" s="19">
        <v>33</v>
      </c>
      <c r="T573" s="14">
        <v>150000</v>
      </c>
      <c r="U573" s="14">
        <v>175000</v>
      </c>
      <c r="V573" s="14">
        <v>80000</v>
      </c>
      <c r="W573" s="4">
        <f t="shared" si="24"/>
        <v>0.16666666666666666</v>
      </c>
      <c r="Z573" s="11">
        <f t="shared" si="25"/>
        <v>0.45714285714285713</v>
      </c>
      <c r="AA573" s="19">
        <f t="shared" si="26"/>
        <v>95000</v>
      </c>
    </row>
    <row r="574" spans="2:27" x14ac:dyDescent="0.45">
      <c r="B574" s="7">
        <v>654</v>
      </c>
      <c r="C574" s="1" t="s">
        <v>62</v>
      </c>
      <c r="D574" s="1" t="s">
        <v>626</v>
      </c>
      <c r="E574" s="1" t="s">
        <v>644</v>
      </c>
      <c r="F574" s="1" t="s">
        <v>645</v>
      </c>
      <c r="G574" s="19">
        <v>3</v>
      </c>
      <c r="H574" s="19">
        <v>30</v>
      </c>
      <c r="I574" s="19">
        <v>46</v>
      </c>
      <c r="J574" s="19">
        <v>36</v>
      </c>
      <c r="K574" s="1" t="s">
        <v>66</v>
      </c>
      <c r="L574" s="2" t="s">
        <v>439</v>
      </c>
      <c r="M574" s="19">
        <v>2000</v>
      </c>
      <c r="N574" s="1" t="s">
        <v>434</v>
      </c>
      <c r="O574" s="19">
        <v>1170</v>
      </c>
      <c r="P574" s="1" t="s">
        <v>18</v>
      </c>
      <c r="Q574" s="19">
        <v>3</v>
      </c>
      <c r="R574" s="19">
        <v>1</v>
      </c>
      <c r="S574" s="19">
        <v>25</v>
      </c>
      <c r="T574" s="14">
        <v>152600</v>
      </c>
      <c r="U574" s="14">
        <v>176000</v>
      </c>
      <c r="V574" s="14">
        <v>65000</v>
      </c>
      <c r="W574" s="4">
        <f t="shared" si="24"/>
        <v>0.15334207077326342</v>
      </c>
      <c r="Z574" s="11">
        <f t="shared" si="25"/>
        <v>0.36931818181818182</v>
      </c>
      <c r="AA574" s="19">
        <f t="shared" si="26"/>
        <v>111000</v>
      </c>
    </row>
    <row r="575" spans="2:27" x14ac:dyDescent="0.45">
      <c r="B575" s="7">
        <v>1499</v>
      </c>
      <c r="C575" s="1" t="s">
        <v>76</v>
      </c>
      <c r="D575" s="1" t="s">
        <v>964</v>
      </c>
      <c r="E575" s="1" t="s">
        <v>976</v>
      </c>
      <c r="F575" s="1" t="s">
        <v>975</v>
      </c>
      <c r="G575" s="19">
        <v>10</v>
      </c>
      <c r="H575" s="19">
        <v>35</v>
      </c>
      <c r="I575" s="19">
        <v>30</v>
      </c>
      <c r="J575" s="19">
        <v>20</v>
      </c>
      <c r="K575" s="1" t="s">
        <v>335</v>
      </c>
      <c r="L575" s="2" t="s">
        <v>453</v>
      </c>
      <c r="M575" s="19">
        <v>2017</v>
      </c>
      <c r="N575" s="1" t="s">
        <v>447</v>
      </c>
      <c r="O575" s="19">
        <v>713</v>
      </c>
      <c r="P575" s="1" t="s">
        <v>18</v>
      </c>
      <c r="Q575" s="19">
        <v>3</v>
      </c>
      <c r="R575" s="19">
        <v>2</v>
      </c>
      <c r="S575" s="19">
        <v>25</v>
      </c>
      <c r="T575" s="14">
        <v>140000</v>
      </c>
      <c r="U575" s="14">
        <v>176000</v>
      </c>
      <c r="V575" s="14">
        <v>75000</v>
      </c>
      <c r="W575" s="4">
        <f t="shared" si="24"/>
        <v>0.25714285714285712</v>
      </c>
      <c r="Z575" s="11">
        <f t="shared" si="25"/>
        <v>0.42613636363636365</v>
      </c>
      <c r="AA575" s="19">
        <f t="shared" si="26"/>
        <v>101000</v>
      </c>
    </row>
    <row r="576" spans="2:27" x14ac:dyDescent="0.45">
      <c r="B576" s="7">
        <v>218</v>
      </c>
      <c r="C576" s="1" t="s">
        <v>48</v>
      </c>
      <c r="D576" s="1" t="s">
        <v>508</v>
      </c>
      <c r="E576" s="1" t="s">
        <v>513</v>
      </c>
      <c r="F576" s="1" t="s">
        <v>514</v>
      </c>
      <c r="G576" s="19">
        <v>5</v>
      </c>
      <c r="H576" s="19">
        <v>35</v>
      </c>
      <c r="I576" s="19">
        <v>45</v>
      </c>
      <c r="J576" s="19">
        <v>50</v>
      </c>
      <c r="K576" s="1" t="s">
        <v>334</v>
      </c>
      <c r="L576" s="2" t="s">
        <v>453</v>
      </c>
      <c r="M576" s="19">
        <v>2024</v>
      </c>
      <c r="N576" s="1" t="s">
        <v>434</v>
      </c>
      <c r="O576" s="19">
        <v>12032</v>
      </c>
      <c r="P576" s="1" t="s">
        <v>5</v>
      </c>
      <c r="Q576" s="19">
        <v>2</v>
      </c>
      <c r="R576" s="19">
        <v>1</v>
      </c>
      <c r="S576" s="19">
        <v>18</v>
      </c>
      <c r="T576" s="14">
        <v>0</v>
      </c>
      <c r="U576" s="14">
        <v>177500</v>
      </c>
      <c r="V576" s="14">
        <v>65000</v>
      </c>
      <c r="W576" s="4" t="e">
        <f t="shared" si="24"/>
        <v>#DIV/0!</v>
      </c>
      <c r="Z576" s="11">
        <f t="shared" si="25"/>
        <v>0.36619718309859156</v>
      </c>
      <c r="AA576" s="19">
        <f t="shared" si="26"/>
        <v>112500</v>
      </c>
    </row>
    <row r="577" spans="2:27" x14ac:dyDescent="0.45">
      <c r="B577" s="7">
        <v>387</v>
      </c>
      <c r="C577" s="1" t="s">
        <v>86</v>
      </c>
      <c r="D577" s="1" t="s">
        <v>555</v>
      </c>
      <c r="E577" s="1" t="s">
        <v>568</v>
      </c>
      <c r="F577" s="1" t="s">
        <v>560</v>
      </c>
      <c r="G577" s="19">
        <v>3</v>
      </c>
      <c r="H577" s="19">
        <v>40</v>
      </c>
      <c r="I577" s="19">
        <v>13</v>
      </c>
      <c r="J577" s="19">
        <v>28</v>
      </c>
      <c r="K577" s="2" t="s">
        <v>320</v>
      </c>
      <c r="L577" s="2" t="s">
        <v>453</v>
      </c>
      <c r="M577" s="19">
        <v>2019</v>
      </c>
      <c r="N577" s="1" t="s">
        <v>440</v>
      </c>
      <c r="O577" s="19">
        <v>499</v>
      </c>
      <c r="P577" s="1" t="s">
        <v>18</v>
      </c>
      <c r="Q577" s="19">
        <v>3</v>
      </c>
      <c r="R577" s="19">
        <v>2</v>
      </c>
      <c r="S577" s="19">
        <v>33</v>
      </c>
      <c r="T577" s="14">
        <v>152000</v>
      </c>
      <c r="U577" s="14">
        <v>178000</v>
      </c>
      <c r="V577" s="14">
        <v>100000</v>
      </c>
      <c r="W577" s="4">
        <f t="shared" si="24"/>
        <v>0.17105263157894737</v>
      </c>
      <c r="Z577" s="11">
        <f t="shared" si="25"/>
        <v>0.5617977528089888</v>
      </c>
      <c r="AA577" s="19">
        <f t="shared" si="26"/>
        <v>78000</v>
      </c>
    </row>
    <row r="578" spans="2:27" x14ac:dyDescent="0.45">
      <c r="B578" s="7">
        <v>1009</v>
      </c>
      <c r="C578" s="1" t="s">
        <v>232</v>
      </c>
      <c r="D578" s="1" t="s">
        <v>816</v>
      </c>
      <c r="E578" s="1" t="s">
        <v>838</v>
      </c>
      <c r="F578" s="1" t="s">
        <v>818</v>
      </c>
      <c r="G578" s="19">
        <v>10</v>
      </c>
      <c r="H578" s="19">
        <v>25</v>
      </c>
      <c r="I578" s="19">
        <v>30</v>
      </c>
      <c r="J578" s="19">
        <v>38</v>
      </c>
      <c r="K578" s="2" t="s">
        <v>254</v>
      </c>
      <c r="L578" s="2" t="s">
        <v>453</v>
      </c>
      <c r="M578" s="19">
        <v>2024</v>
      </c>
      <c r="N578" s="1" t="s">
        <v>447</v>
      </c>
      <c r="O578" s="19">
        <v>771</v>
      </c>
      <c r="P578" s="1" t="s">
        <v>18</v>
      </c>
      <c r="Q578" s="19">
        <v>3</v>
      </c>
      <c r="R578" s="19">
        <v>2</v>
      </c>
      <c r="S578" s="19">
        <v>34</v>
      </c>
      <c r="T578" s="14">
        <v>0</v>
      </c>
      <c r="U578" s="14">
        <v>178000</v>
      </c>
      <c r="V578" s="14">
        <v>85000</v>
      </c>
      <c r="W578" s="4" t="e">
        <f t="shared" si="24"/>
        <v>#DIV/0!</v>
      </c>
      <c r="Z578" s="11">
        <f t="shared" si="25"/>
        <v>0.47752808988764045</v>
      </c>
      <c r="AA578" s="19">
        <f t="shared" si="26"/>
        <v>93000</v>
      </c>
    </row>
    <row r="579" spans="2:27" x14ac:dyDescent="0.45">
      <c r="B579" s="7">
        <v>1823</v>
      </c>
      <c r="C579" s="1" t="s">
        <v>1037</v>
      </c>
      <c r="D579" s="1" t="s">
        <v>1032</v>
      </c>
      <c r="E579" s="1" t="s">
        <v>1065</v>
      </c>
      <c r="F579" s="1" t="s">
        <v>1066</v>
      </c>
      <c r="G579" s="19">
        <v>5</v>
      </c>
      <c r="H579" s="19">
        <v>40</v>
      </c>
      <c r="I579" s="19">
        <v>55</v>
      </c>
      <c r="J579" s="19">
        <v>55</v>
      </c>
      <c r="K579" s="2" t="s">
        <v>275</v>
      </c>
      <c r="L579" s="2" t="s">
        <v>453</v>
      </c>
      <c r="M579" s="19">
        <v>2021</v>
      </c>
      <c r="N579" s="1" t="s">
        <v>434</v>
      </c>
      <c r="O579" s="19">
        <v>1945</v>
      </c>
      <c r="P579" s="1" t="s">
        <v>18</v>
      </c>
      <c r="Q579" s="19">
        <v>3</v>
      </c>
      <c r="R579" s="19">
        <v>2</v>
      </c>
      <c r="S579" s="19">
        <v>25</v>
      </c>
      <c r="T579" s="14">
        <v>143000</v>
      </c>
      <c r="U579" s="14">
        <v>178000</v>
      </c>
      <c r="V579" s="14">
        <v>80000</v>
      </c>
      <c r="W579" s="4">
        <f t="shared" si="24"/>
        <v>0.24475524475524477</v>
      </c>
      <c r="Z579" s="11">
        <f t="shared" si="25"/>
        <v>0.449438202247191</v>
      </c>
      <c r="AA579" s="19">
        <f t="shared" si="26"/>
        <v>98000</v>
      </c>
    </row>
    <row r="580" spans="2:27" x14ac:dyDescent="0.45">
      <c r="B580" s="7">
        <v>1151</v>
      </c>
      <c r="C580" s="1" t="s">
        <v>10</v>
      </c>
      <c r="D580" s="1" t="s">
        <v>866</v>
      </c>
      <c r="E580" s="1" t="s">
        <v>880</v>
      </c>
      <c r="F580" s="1" t="s">
        <v>878</v>
      </c>
      <c r="G580" s="19">
        <v>8</v>
      </c>
      <c r="H580" s="19">
        <v>38</v>
      </c>
      <c r="I580" s="19">
        <v>15</v>
      </c>
      <c r="J580" s="19">
        <v>15</v>
      </c>
      <c r="K580" s="1" t="s">
        <v>289</v>
      </c>
      <c r="L580" s="2" t="s">
        <v>439</v>
      </c>
      <c r="M580" s="19">
        <v>2000</v>
      </c>
      <c r="N580" s="1" t="s">
        <v>447</v>
      </c>
      <c r="O580" s="19">
        <v>834</v>
      </c>
      <c r="P580" s="1" t="s">
        <v>18</v>
      </c>
      <c r="Q580" s="19">
        <v>3</v>
      </c>
      <c r="R580" s="19">
        <v>1</v>
      </c>
      <c r="S580" s="19">
        <v>25</v>
      </c>
      <c r="T580" s="14">
        <v>131000</v>
      </c>
      <c r="U580" s="14">
        <v>179000</v>
      </c>
      <c r="V580" s="14">
        <v>65000</v>
      </c>
      <c r="W580" s="4">
        <f t="shared" si="24"/>
        <v>0.36641221374045801</v>
      </c>
      <c r="Z580" s="11">
        <f t="shared" si="25"/>
        <v>0.36312849162011174</v>
      </c>
      <c r="AA580" s="19">
        <f t="shared" si="26"/>
        <v>114000</v>
      </c>
    </row>
    <row r="581" spans="2:27" x14ac:dyDescent="0.45">
      <c r="B581" s="7">
        <v>1169</v>
      </c>
      <c r="C581" s="1" t="s">
        <v>10</v>
      </c>
      <c r="D581" s="1" t="s">
        <v>866</v>
      </c>
      <c r="E581" s="1" t="s">
        <v>879</v>
      </c>
      <c r="F581" s="1" t="s">
        <v>878</v>
      </c>
      <c r="G581" s="19">
        <v>5</v>
      </c>
      <c r="H581" s="19">
        <v>38</v>
      </c>
      <c r="I581" s="19">
        <v>15</v>
      </c>
      <c r="J581" s="19">
        <v>15</v>
      </c>
      <c r="K581" s="1" t="s">
        <v>238</v>
      </c>
      <c r="L581" s="2" t="s">
        <v>439</v>
      </c>
      <c r="M581" s="19">
        <v>2004</v>
      </c>
      <c r="N581" s="1" t="s">
        <v>447</v>
      </c>
      <c r="O581" s="19">
        <v>683</v>
      </c>
      <c r="P581" s="1" t="s">
        <v>18</v>
      </c>
      <c r="Q581" s="19">
        <v>3</v>
      </c>
      <c r="R581" s="19">
        <v>2</v>
      </c>
      <c r="S581" s="19">
        <v>25</v>
      </c>
      <c r="T581" s="14">
        <v>139700</v>
      </c>
      <c r="U581" s="14">
        <v>179000</v>
      </c>
      <c r="V581" s="14">
        <v>70000</v>
      </c>
      <c r="W581" s="4">
        <f t="shared" si="24"/>
        <v>0.28131710808876165</v>
      </c>
      <c r="Z581" s="11">
        <f t="shared" si="25"/>
        <v>0.39106145251396646</v>
      </c>
      <c r="AA581" s="19">
        <f t="shared" si="26"/>
        <v>109000</v>
      </c>
    </row>
    <row r="582" spans="2:27" x14ac:dyDescent="0.45">
      <c r="B582" s="7">
        <v>290</v>
      </c>
      <c r="C582" s="1" t="s">
        <v>6</v>
      </c>
      <c r="D582" s="1" t="s">
        <v>508</v>
      </c>
      <c r="E582" s="1" t="s">
        <v>539</v>
      </c>
      <c r="F582" s="1" t="s">
        <v>540</v>
      </c>
      <c r="G582" s="19">
        <v>5</v>
      </c>
      <c r="H582" s="19">
        <v>42</v>
      </c>
      <c r="I582" s="19">
        <v>52</v>
      </c>
      <c r="J582" s="19">
        <v>50</v>
      </c>
      <c r="K582" s="1" t="s">
        <v>28</v>
      </c>
      <c r="L582" s="2" t="s">
        <v>453</v>
      </c>
      <c r="M582" s="19">
        <v>2024</v>
      </c>
      <c r="N582" s="1" t="s">
        <v>434</v>
      </c>
      <c r="O582" s="19">
        <v>1299</v>
      </c>
      <c r="P582" s="1" t="s">
        <v>18</v>
      </c>
      <c r="Q582" s="19">
        <v>3</v>
      </c>
      <c r="R582" s="19">
        <v>2</v>
      </c>
      <c r="S582" s="19">
        <v>25</v>
      </c>
      <c r="T582" s="14">
        <v>0</v>
      </c>
      <c r="U582" s="14">
        <v>179500</v>
      </c>
      <c r="V582" s="14">
        <v>65000</v>
      </c>
      <c r="W582" s="4" t="e">
        <f t="shared" ref="W582:W645" si="27">(U582-$T582)/$T582</f>
        <v>#DIV/0!</v>
      </c>
      <c r="Z582" s="11">
        <f t="shared" ref="Z582:Z645" si="28">V582/U582</f>
        <v>0.36211699164345401</v>
      </c>
      <c r="AA582" s="19">
        <f t="shared" ref="AA582:AA645" si="29">U582-V582</f>
        <v>114500</v>
      </c>
    </row>
    <row r="583" spans="2:27" x14ac:dyDescent="0.45">
      <c r="B583" s="7">
        <v>616</v>
      </c>
      <c r="C583" s="1" t="s">
        <v>72</v>
      </c>
      <c r="D583" s="1" t="s">
        <v>626</v>
      </c>
      <c r="E583" s="1" t="s">
        <v>627</v>
      </c>
      <c r="F583" s="1" t="s">
        <v>628</v>
      </c>
      <c r="G583" s="19">
        <v>5</v>
      </c>
      <c r="H583" s="19">
        <v>25</v>
      </c>
      <c r="I583" s="19">
        <v>42</v>
      </c>
      <c r="J583" s="19">
        <v>38</v>
      </c>
      <c r="K583" s="1" t="s">
        <v>629</v>
      </c>
      <c r="L583" s="2" t="s">
        <v>433</v>
      </c>
      <c r="M583" s="19">
        <v>1997</v>
      </c>
      <c r="N583" s="1" t="s">
        <v>434</v>
      </c>
      <c r="O583" s="19">
        <v>1592</v>
      </c>
      <c r="P583" s="1" t="s">
        <v>5</v>
      </c>
      <c r="Q583" s="19">
        <v>3</v>
      </c>
      <c r="R583" s="19">
        <v>1</v>
      </c>
      <c r="S583" s="19">
        <v>25</v>
      </c>
      <c r="T583" s="14">
        <v>130000</v>
      </c>
      <c r="U583" s="14">
        <v>179500</v>
      </c>
      <c r="V583" s="14">
        <v>66000</v>
      </c>
      <c r="W583" s="4">
        <f t="shared" si="27"/>
        <v>0.38076923076923075</v>
      </c>
      <c r="Z583" s="11">
        <f t="shared" si="28"/>
        <v>0.36768802228412256</v>
      </c>
      <c r="AA583" s="19">
        <f t="shared" si="29"/>
        <v>113500</v>
      </c>
    </row>
    <row r="584" spans="2:27" x14ac:dyDescent="0.45">
      <c r="B584" s="7">
        <v>576</v>
      </c>
      <c r="C584" s="1" t="s">
        <v>15</v>
      </c>
      <c r="D584" s="1" t="s">
        <v>607</v>
      </c>
      <c r="E584" s="1" t="s">
        <v>610</v>
      </c>
      <c r="F584" s="1" t="s">
        <v>611</v>
      </c>
      <c r="G584" s="19">
        <v>8</v>
      </c>
      <c r="H584" s="19">
        <v>30</v>
      </c>
      <c r="I584" s="19">
        <v>35</v>
      </c>
      <c r="J584" s="19">
        <v>35</v>
      </c>
      <c r="K584" s="1" t="s">
        <v>428</v>
      </c>
      <c r="L584" s="2" t="s">
        <v>453</v>
      </c>
      <c r="M584" s="19">
        <v>2025</v>
      </c>
      <c r="N584" s="1" t="s">
        <v>447</v>
      </c>
      <c r="O584" s="19">
        <v>997</v>
      </c>
      <c r="P584" s="1" t="s">
        <v>18</v>
      </c>
      <c r="Q584" s="19">
        <v>3</v>
      </c>
      <c r="R584" s="19">
        <v>2</v>
      </c>
      <c r="S584" s="19">
        <v>33</v>
      </c>
      <c r="T584" s="14">
        <v>0</v>
      </c>
      <c r="U584" s="14">
        <v>180000</v>
      </c>
      <c r="V584" s="14">
        <v>84000</v>
      </c>
      <c r="W584" s="4" t="e">
        <f t="shared" si="27"/>
        <v>#DIV/0!</v>
      </c>
      <c r="Z584" s="11">
        <f t="shared" si="28"/>
        <v>0.46666666666666667</v>
      </c>
      <c r="AA584" s="19">
        <f t="shared" si="29"/>
        <v>96000</v>
      </c>
    </row>
    <row r="585" spans="2:27" x14ac:dyDescent="0.45">
      <c r="B585" s="7">
        <v>661</v>
      </c>
      <c r="C585" s="1" t="s">
        <v>62</v>
      </c>
      <c r="D585" s="1" t="s">
        <v>626</v>
      </c>
      <c r="E585" s="1" t="s">
        <v>647</v>
      </c>
      <c r="F585" s="1" t="s">
        <v>645</v>
      </c>
      <c r="G585" s="19">
        <v>5</v>
      </c>
      <c r="H585" s="19">
        <v>32</v>
      </c>
      <c r="I585" s="19">
        <v>48</v>
      </c>
      <c r="J585" s="19">
        <v>38</v>
      </c>
      <c r="K585" s="1" t="s">
        <v>648</v>
      </c>
      <c r="L585" s="2" t="s">
        <v>433</v>
      </c>
      <c r="M585" s="19">
        <v>1989</v>
      </c>
      <c r="N585" s="1" t="s">
        <v>447</v>
      </c>
      <c r="O585" s="19">
        <v>581</v>
      </c>
      <c r="P585" s="1" t="s">
        <v>18</v>
      </c>
      <c r="Q585" s="19">
        <v>2</v>
      </c>
      <c r="R585" s="19">
        <v>1</v>
      </c>
      <c r="S585" s="19">
        <v>25</v>
      </c>
      <c r="T585" s="14">
        <v>148000</v>
      </c>
      <c r="U585" s="14">
        <v>180000</v>
      </c>
      <c r="V585" s="14">
        <v>60000</v>
      </c>
      <c r="W585" s="4">
        <f t="shared" si="27"/>
        <v>0.21621621621621623</v>
      </c>
      <c r="Z585" s="11">
        <f t="shared" si="28"/>
        <v>0.33333333333333331</v>
      </c>
      <c r="AA585" s="19">
        <f t="shared" si="29"/>
        <v>120000</v>
      </c>
    </row>
    <row r="586" spans="2:27" x14ac:dyDescent="0.45">
      <c r="B586" s="7">
        <v>912</v>
      </c>
      <c r="C586" s="1" t="s">
        <v>20</v>
      </c>
      <c r="D586" s="1" t="s">
        <v>781</v>
      </c>
      <c r="E586" s="1" t="s">
        <v>811</v>
      </c>
      <c r="F586" s="1" t="s">
        <v>794</v>
      </c>
      <c r="G586" s="19">
        <v>5</v>
      </c>
      <c r="H586" s="19">
        <v>34</v>
      </c>
      <c r="I586" s="19">
        <v>31</v>
      </c>
      <c r="J586" s="19">
        <v>24</v>
      </c>
      <c r="K586" s="1" t="s">
        <v>155</v>
      </c>
      <c r="L586" s="2" t="s">
        <v>453</v>
      </c>
      <c r="M586" s="19">
        <v>2022</v>
      </c>
      <c r="N586" s="1" t="s">
        <v>434</v>
      </c>
      <c r="O586" s="19">
        <v>1048</v>
      </c>
      <c r="P586" s="1" t="s">
        <v>18</v>
      </c>
      <c r="Q586" s="19">
        <v>3</v>
      </c>
      <c r="R586" s="19">
        <v>2</v>
      </c>
      <c r="S586" s="19">
        <v>33</v>
      </c>
      <c r="T586" s="14">
        <v>0</v>
      </c>
      <c r="U586" s="14">
        <v>180000</v>
      </c>
      <c r="V586" s="14">
        <v>100000</v>
      </c>
      <c r="W586" s="4" t="e">
        <f t="shared" si="27"/>
        <v>#DIV/0!</v>
      </c>
      <c r="Z586" s="11">
        <f t="shared" si="28"/>
        <v>0.55555555555555558</v>
      </c>
      <c r="AA586" s="19">
        <f t="shared" si="29"/>
        <v>80000</v>
      </c>
    </row>
    <row r="587" spans="2:27" x14ac:dyDescent="0.45">
      <c r="B587" s="7">
        <v>945</v>
      </c>
      <c r="C587" s="1" t="s">
        <v>20</v>
      </c>
      <c r="D587" s="1" t="s">
        <v>781</v>
      </c>
      <c r="E587" s="1" t="s">
        <v>811</v>
      </c>
      <c r="F587" s="1" t="s">
        <v>794</v>
      </c>
      <c r="G587" s="19">
        <v>5</v>
      </c>
      <c r="H587" s="19">
        <v>34</v>
      </c>
      <c r="I587" s="19">
        <v>31</v>
      </c>
      <c r="J587" s="19">
        <v>24</v>
      </c>
      <c r="K587" s="1" t="s">
        <v>21</v>
      </c>
      <c r="L587" s="2" t="s">
        <v>453</v>
      </c>
      <c r="M587" s="19">
        <v>2021</v>
      </c>
      <c r="N587" s="1" t="s">
        <v>447</v>
      </c>
      <c r="O587" s="19">
        <v>823</v>
      </c>
      <c r="P587" s="1" t="s">
        <v>18</v>
      </c>
      <c r="Q587" s="19">
        <v>3</v>
      </c>
      <c r="R587" s="19">
        <v>2</v>
      </c>
      <c r="S587" s="19">
        <v>33</v>
      </c>
      <c r="T587" s="14">
        <v>159000</v>
      </c>
      <c r="U587" s="14">
        <v>180000</v>
      </c>
      <c r="V587" s="14">
        <v>90000</v>
      </c>
      <c r="W587" s="4">
        <f t="shared" si="27"/>
        <v>0.13207547169811321</v>
      </c>
      <c r="Z587" s="11">
        <f t="shared" si="28"/>
        <v>0.5</v>
      </c>
      <c r="AA587" s="19">
        <f t="shared" si="29"/>
        <v>90000</v>
      </c>
    </row>
    <row r="588" spans="2:27" x14ac:dyDescent="0.45">
      <c r="B588" s="7">
        <v>1043</v>
      </c>
      <c r="C588" s="1" t="s">
        <v>232</v>
      </c>
      <c r="D588" s="1" t="s">
        <v>816</v>
      </c>
      <c r="E588" s="1" t="s">
        <v>850</v>
      </c>
      <c r="F588" s="1" t="s">
        <v>849</v>
      </c>
      <c r="G588" s="19">
        <v>4</v>
      </c>
      <c r="H588" s="19">
        <v>22</v>
      </c>
      <c r="I588" s="19">
        <v>28</v>
      </c>
      <c r="J588" s="19">
        <v>36</v>
      </c>
      <c r="K588" s="2" t="s">
        <v>851</v>
      </c>
      <c r="L588" s="2" t="s">
        <v>453</v>
      </c>
      <c r="M588" s="19">
        <v>2021</v>
      </c>
      <c r="N588" s="1" t="s">
        <v>447</v>
      </c>
      <c r="O588" s="19">
        <v>959</v>
      </c>
      <c r="P588" s="1" t="s">
        <v>18</v>
      </c>
      <c r="Q588" s="19">
        <v>3</v>
      </c>
      <c r="R588" s="19">
        <v>2</v>
      </c>
      <c r="S588" s="19">
        <v>34</v>
      </c>
      <c r="T588" s="14">
        <v>140000</v>
      </c>
      <c r="U588" s="14">
        <v>180000</v>
      </c>
      <c r="V588" s="14">
        <v>85000</v>
      </c>
      <c r="W588" s="4">
        <f t="shared" si="27"/>
        <v>0.2857142857142857</v>
      </c>
      <c r="Z588" s="11">
        <f t="shared" si="28"/>
        <v>0.47222222222222221</v>
      </c>
      <c r="AA588" s="19">
        <f t="shared" si="29"/>
        <v>95000</v>
      </c>
    </row>
    <row r="589" spans="2:27" x14ac:dyDescent="0.45">
      <c r="B589" s="7">
        <v>1214</v>
      </c>
      <c r="C589" s="1" t="s">
        <v>869</v>
      </c>
      <c r="D589" s="1" t="s">
        <v>866</v>
      </c>
      <c r="E589" s="1" t="s">
        <v>895</v>
      </c>
      <c r="F589" s="1" t="s">
        <v>889</v>
      </c>
      <c r="G589" s="19">
        <v>6</v>
      </c>
      <c r="H589" s="19">
        <v>40</v>
      </c>
      <c r="I589" s="19">
        <v>15</v>
      </c>
      <c r="J589" s="19">
        <v>20</v>
      </c>
      <c r="K589" s="1" t="s">
        <v>118</v>
      </c>
      <c r="L589" s="2" t="s">
        <v>439</v>
      </c>
      <c r="M589" s="19">
        <v>2000</v>
      </c>
      <c r="N589" s="1" t="s">
        <v>447</v>
      </c>
      <c r="O589" s="19">
        <v>914</v>
      </c>
      <c r="P589" s="1" t="s">
        <v>18</v>
      </c>
      <c r="Q589" s="19">
        <v>3</v>
      </c>
      <c r="R589" s="19">
        <v>2</v>
      </c>
      <c r="S589" s="19">
        <v>33</v>
      </c>
      <c r="T589" s="14">
        <v>139000</v>
      </c>
      <c r="U589" s="14">
        <v>180000</v>
      </c>
      <c r="V589" s="14">
        <v>69000</v>
      </c>
      <c r="W589" s="4">
        <f t="shared" si="27"/>
        <v>0.29496402877697842</v>
      </c>
      <c r="Z589" s="11">
        <f t="shared" si="28"/>
        <v>0.38333333333333336</v>
      </c>
      <c r="AA589" s="19">
        <f t="shared" si="29"/>
        <v>111000</v>
      </c>
    </row>
    <row r="590" spans="2:27" x14ac:dyDescent="0.45">
      <c r="B590" s="7">
        <v>1223</v>
      </c>
      <c r="C590" s="1" t="s">
        <v>31</v>
      </c>
      <c r="D590" s="1" t="s">
        <v>866</v>
      </c>
      <c r="E590" s="1" t="s">
        <v>896</v>
      </c>
      <c r="F590" s="1" t="s">
        <v>874</v>
      </c>
      <c r="G590" s="19">
        <v>4</v>
      </c>
      <c r="H590" s="19">
        <v>38</v>
      </c>
      <c r="I590" s="19">
        <v>15</v>
      </c>
      <c r="J590" s="19">
        <v>25</v>
      </c>
      <c r="K590" s="1" t="s">
        <v>111</v>
      </c>
      <c r="L590" s="2" t="s">
        <v>433</v>
      </c>
      <c r="M590" s="19">
        <v>1999</v>
      </c>
      <c r="N590" s="1" t="s">
        <v>434</v>
      </c>
      <c r="O590" s="19">
        <v>1992</v>
      </c>
      <c r="P590" s="1" t="s">
        <v>5</v>
      </c>
      <c r="Q590" s="19">
        <v>3</v>
      </c>
      <c r="R590" s="19">
        <v>1</v>
      </c>
      <c r="S590" s="19">
        <v>25</v>
      </c>
      <c r="T590" s="14">
        <v>130000</v>
      </c>
      <c r="U590" s="14">
        <v>180000</v>
      </c>
      <c r="V590" s="14">
        <v>67000</v>
      </c>
      <c r="W590" s="4">
        <f t="shared" si="27"/>
        <v>0.38461538461538464</v>
      </c>
      <c r="Z590" s="11">
        <f t="shared" si="28"/>
        <v>0.37222222222222223</v>
      </c>
      <c r="AA590" s="19">
        <f t="shared" si="29"/>
        <v>113000</v>
      </c>
    </row>
    <row r="591" spans="2:27" x14ac:dyDescent="0.45">
      <c r="B591" s="7">
        <v>1642</v>
      </c>
      <c r="C591" s="1" t="s">
        <v>137</v>
      </c>
      <c r="D591" s="1" t="s">
        <v>998</v>
      </c>
      <c r="E591" s="1" t="s">
        <v>1016</v>
      </c>
      <c r="F591" s="1" t="s">
        <v>1017</v>
      </c>
      <c r="G591" s="19">
        <v>6</v>
      </c>
      <c r="H591" s="19">
        <v>48</v>
      </c>
      <c r="I591" s="19">
        <v>45</v>
      </c>
      <c r="J591" s="19">
        <v>32</v>
      </c>
      <c r="K591" s="1" t="s">
        <v>165</v>
      </c>
      <c r="L591" s="2" t="s">
        <v>453</v>
      </c>
      <c r="M591" s="19">
        <v>2022</v>
      </c>
      <c r="N591" s="1" t="s">
        <v>434</v>
      </c>
      <c r="O591" s="19">
        <v>2029</v>
      </c>
      <c r="P591" s="1" t="s">
        <v>18</v>
      </c>
      <c r="Q591" s="19">
        <v>3</v>
      </c>
      <c r="R591" s="19">
        <v>2</v>
      </c>
      <c r="S591" s="19">
        <v>33</v>
      </c>
      <c r="T591" s="14">
        <v>141000</v>
      </c>
      <c r="U591" s="14">
        <v>180000</v>
      </c>
      <c r="V591" s="14">
        <v>110000</v>
      </c>
      <c r="W591" s="4">
        <f t="shared" si="27"/>
        <v>0.27659574468085107</v>
      </c>
      <c r="Z591" s="11">
        <f t="shared" si="28"/>
        <v>0.61111111111111116</v>
      </c>
      <c r="AA591" s="19">
        <f t="shared" si="29"/>
        <v>70000</v>
      </c>
    </row>
    <row r="592" spans="2:27" x14ac:dyDescent="0.45">
      <c r="B592" s="7">
        <v>2019</v>
      </c>
      <c r="C592" s="1" t="s">
        <v>98</v>
      </c>
      <c r="D592" s="1" t="s">
        <v>1107</v>
      </c>
      <c r="E592" s="1" t="s">
        <v>1127</v>
      </c>
      <c r="F592" s="1" t="s">
        <v>1125</v>
      </c>
      <c r="G592" s="19">
        <v>3</v>
      </c>
      <c r="H592" s="19">
        <v>32</v>
      </c>
      <c r="I592" s="19">
        <v>10</v>
      </c>
      <c r="J592" s="19">
        <v>22</v>
      </c>
      <c r="K592" s="1" t="s">
        <v>1128</v>
      </c>
      <c r="L592" s="2" t="s">
        <v>439</v>
      </c>
      <c r="M592" s="19">
        <v>2001</v>
      </c>
      <c r="N592" s="1" t="s">
        <v>434</v>
      </c>
      <c r="O592" s="19">
        <v>1302</v>
      </c>
      <c r="P592" s="1" t="s">
        <v>18</v>
      </c>
      <c r="Q592" s="19">
        <v>3</v>
      </c>
      <c r="R592" s="19">
        <v>2</v>
      </c>
      <c r="S592" s="19">
        <v>33</v>
      </c>
      <c r="T592" s="14">
        <v>164400</v>
      </c>
      <c r="U592" s="14">
        <v>180000</v>
      </c>
      <c r="V592" s="14">
        <v>78000</v>
      </c>
      <c r="W592" s="4">
        <f t="shared" si="27"/>
        <v>9.4890510948905105E-2</v>
      </c>
      <c r="Z592" s="11">
        <f t="shared" si="28"/>
        <v>0.43333333333333335</v>
      </c>
      <c r="AA592" s="19">
        <f t="shared" si="29"/>
        <v>102000</v>
      </c>
    </row>
    <row r="593" spans="2:27" x14ac:dyDescent="0.45">
      <c r="B593" s="7">
        <v>2023</v>
      </c>
      <c r="C593" s="1" t="s">
        <v>98</v>
      </c>
      <c r="D593" s="1" t="s">
        <v>1107</v>
      </c>
      <c r="E593" s="1" t="s">
        <v>1108</v>
      </c>
      <c r="F593" s="1" t="s">
        <v>832</v>
      </c>
      <c r="G593" s="19" t="s">
        <v>1249</v>
      </c>
      <c r="H593" s="19">
        <v>32</v>
      </c>
      <c r="I593" s="19">
        <v>12</v>
      </c>
      <c r="J593" s="19">
        <v>25</v>
      </c>
      <c r="K593" s="1" t="s">
        <v>154</v>
      </c>
      <c r="L593" s="2" t="s">
        <v>453</v>
      </c>
      <c r="M593" s="19">
        <v>2017</v>
      </c>
      <c r="N593" s="1" t="s">
        <v>434</v>
      </c>
      <c r="O593" s="19">
        <v>1722</v>
      </c>
      <c r="P593" s="1" t="s">
        <v>18</v>
      </c>
      <c r="Q593" s="19">
        <v>3</v>
      </c>
      <c r="R593" s="19">
        <v>2</v>
      </c>
      <c r="S593" s="19">
        <v>25</v>
      </c>
      <c r="T593" s="14">
        <v>138500</v>
      </c>
      <c r="U593" s="14">
        <v>180000</v>
      </c>
      <c r="V593" s="14">
        <v>69000</v>
      </c>
      <c r="W593" s="4">
        <f t="shared" si="27"/>
        <v>0.29963898916967507</v>
      </c>
      <c r="Z593" s="11">
        <f t="shared" si="28"/>
        <v>0.38333333333333336</v>
      </c>
      <c r="AA593" s="19">
        <f t="shared" si="29"/>
        <v>111000</v>
      </c>
    </row>
    <row r="594" spans="2:27" x14ac:dyDescent="0.45">
      <c r="B594" s="7">
        <v>2028</v>
      </c>
      <c r="C594" s="1" t="s">
        <v>11</v>
      </c>
      <c r="D594" s="1" t="s">
        <v>1107</v>
      </c>
      <c r="E594" s="1" t="s">
        <v>1130</v>
      </c>
      <c r="F594" s="1" t="s">
        <v>1131</v>
      </c>
      <c r="G594" s="19">
        <v>6</v>
      </c>
      <c r="H594" s="19">
        <v>38</v>
      </c>
      <c r="I594" s="19">
        <v>12</v>
      </c>
      <c r="J594" s="19">
        <v>25</v>
      </c>
      <c r="K594" s="1" t="s">
        <v>112</v>
      </c>
      <c r="L594" s="2" t="s">
        <v>453</v>
      </c>
      <c r="M594" s="19">
        <v>2022</v>
      </c>
      <c r="N594" s="1" t="s">
        <v>447</v>
      </c>
      <c r="O594" s="19">
        <v>799</v>
      </c>
      <c r="P594" s="1" t="s">
        <v>18</v>
      </c>
      <c r="Q594" s="19">
        <v>3</v>
      </c>
      <c r="R594" s="19">
        <v>2</v>
      </c>
      <c r="S594" s="19">
        <v>33</v>
      </c>
      <c r="T594" s="14">
        <v>0</v>
      </c>
      <c r="U594" s="14">
        <v>180000</v>
      </c>
      <c r="V594" s="14">
        <v>87000</v>
      </c>
      <c r="W594" s="4" t="e">
        <f t="shared" si="27"/>
        <v>#DIV/0!</v>
      </c>
      <c r="Z594" s="11">
        <f t="shared" si="28"/>
        <v>0.48333333333333334</v>
      </c>
      <c r="AA594" s="19">
        <f t="shared" si="29"/>
        <v>93000</v>
      </c>
    </row>
    <row r="595" spans="2:27" x14ac:dyDescent="0.45">
      <c r="B595" s="7">
        <v>2098</v>
      </c>
      <c r="C595" s="1" t="s">
        <v>1136</v>
      </c>
      <c r="D595" s="1" t="s">
        <v>1137</v>
      </c>
      <c r="E595" s="1" t="s">
        <v>1147</v>
      </c>
      <c r="F595" s="1" t="s">
        <v>1143</v>
      </c>
      <c r="G595" s="19">
        <v>5</v>
      </c>
      <c r="H595" s="19">
        <v>38</v>
      </c>
      <c r="I595" s="19">
        <v>12</v>
      </c>
      <c r="J595" s="19">
        <v>18</v>
      </c>
      <c r="K595" s="2" t="s">
        <v>239</v>
      </c>
      <c r="L595" s="2" t="s">
        <v>439</v>
      </c>
      <c r="M595" s="19">
        <v>2000</v>
      </c>
      <c r="N595" s="1" t="s">
        <v>440</v>
      </c>
      <c r="O595" s="19">
        <v>242</v>
      </c>
      <c r="P595" s="1" t="s">
        <v>5</v>
      </c>
      <c r="Q595" s="19">
        <v>3</v>
      </c>
      <c r="R595" s="19">
        <v>1</v>
      </c>
      <c r="S595" s="19">
        <v>25</v>
      </c>
      <c r="T595" s="14">
        <v>121500</v>
      </c>
      <c r="U595" s="14">
        <v>180000</v>
      </c>
      <c r="V595" s="14">
        <v>63000</v>
      </c>
      <c r="W595" s="4">
        <f t="shared" si="27"/>
        <v>0.48148148148148145</v>
      </c>
      <c r="Z595" s="11">
        <f t="shared" si="28"/>
        <v>0.35</v>
      </c>
      <c r="AA595" s="19">
        <f t="shared" si="29"/>
        <v>117000</v>
      </c>
    </row>
    <row r="596" spans="2:27" x14ac:dyDescent="0.45">
      <c r="B596" s="7">
        <v>2102</v>
      </c>
      <c r="C596" s="1" t="s">
        <v>1138</v>
      </c>
      <c r="D596" s="1" t="s">
        <v>1137</v>
      </c>
      <c r="E596" s="1" t="s">
        <v>1148</v>
      </c>
      <c r="F596" s="1" t="s">
        <v>1143</v>
      </c>
      <c r="G596" s="19">
        <v>7</v>
      </c>
      <c r="H596" s="19">
        <v>35</v>
      </c>
      <c r="I596" s="19">
        <v>15</v>
      </c>
      <c r="J596" s="19">
        <v>18</v>
      </c>
      <c r="K596" s="1" t="s">
        <v>117</v>
      </c>
      <c r="L596" s="2" t="s">
        <v>439</v>
      </c>
      <c r="M596" s="19">
        <v>2001</v>
      </c>
      <c r="N596" s="1" t="s">
        <v>434</v>
      </c>
      <c r="O596" s="19">
        <v>1458</v>
      </c>
      <c r="P596" s="1" t="s">
        <v>18</v>
      </c>
      <c r="Q596" s="19">
        <v>3</v>
      </c>
      <c r="R596" s="19">
        <v>2</v>
      </c>
      <c r="S596" s="19">
        <v>33</v>
      </c>
      <c r="T596" s="14">
        <v>163000</v>
      </c>
      <c r="U596" s="14">
        <v>180000</v>
      </c>
      <c r="V596" s="14">
        <v>80000</v>
      </c>
      <c r="W596" s="4">
        <f t="shared" si="27"/>
        <v>0.10429447852760736</v>
      </c>
      <c r="Z596" s="11">
        <f t="shared" si="28"/>
        <v>0.44444444444444442</v>
      </c>
      <c r="AA596" s="19">
        <f t="shared" si="29"/>
        <v>100000</v>
      </c>
    </row>
    <row r="597" spans="2:27" x14ac:dyDescent="0.45">
      <c r="B597" s="7">
        <v>1314</v>
      </c>
      <c r="C597" s="1" t="s">
        <v>2</v>
      </c>
      <c r="D597" s="1" t="s">
        <v>899</v>
      </c>
      <c r="E597" s="1" t="s">
        <v>914</v>
      </c>
      <c r="F597" s="1" t="s">
        <v>911</v>
      </c>
      <c r="G597" s="19">
        <v>6</v>
      </c>
      <c r="H597" s="19">
        <v>45</v>
      </c>
      <c r="I597" s="19">
        <v>28</v>
      </c>
      <c r="J597" s="19">
        <v>15</v>
      </c>
      <c r="K597" s="1" t="s">
        <v>124</v>
      </c>
      <c r="L597" s="2" t="s">
        <v>439</v>
      </c>
      <c r="M597" s="19">
        <v>2011</v>
      </c>
      <c r="N597" s="1" t="s">
        <v>447</v>
      </c>
      <c r="O597" s="19">
        <v>561</v>
      </c>
      <c r="P597" s="1" t="s">
        <v>18</v>
      </c>
      <c r="Q597" s="19">
        <v>3</v>
      </c>
      <c r="R597" s="19">
        <v>2</v>
      </c>
      <c r="S597" s="19">
        <v>33</v>
      </c>
      <c r="T597" s="14">
        <v>151000</v>
      </c>
      <c r="U597" s="14">
        <v>181000</v>
      </c>
      <c r="V597" s="14">
        <v>84000</v>
      </c>
      <c r="W597" s="4">
        <f t="shared" si="27"/>
        <v>0.19867549668874171</v>
      </c>
      <c r="Z597" s="11">
        <f t="shared" si="28"/>
        <v>0.46408839779005523</v>
      </c>
      <c r="AA597" s="19">
        <f t="shared" si="29"/>
        <v>97000</v>
      </c>
    </row>
    <row r="598" spans="2:27" x14ac:dyDescent="0.45">
      <c r="B598" s="7">
        <v>662</v>
      </c>
      <c r="C598" s="1" t="s">
        <v>62</v>
      </c>
      <c r="D598" s="1" t="s">
        <v>626</v>
      </c>
      <c r="E598" s="1" t="s">
        <v>647</v>
      </c>
      <c r="F598" s="1" t="s">
        <v>645</v>
      </c>
      <c r="G598" s="19">
        <v>5</v>
      </c>
      <c r="H598" s="19">
        <v>32</v>
      </c>
      <c r="I598" s="19">
        <v>48</v>
      </c>
      <c r="J598" s="19">
        <v>38</v>
      </c>
      <c r="K598" s="2" t="s">
        <v>648</v>
      </c>
      <c r="L598" s="2" t="s">
        <v>433</v>
      </c>
      <c r="M598" s="19">
        <v>1989</v>
      </c>
      <c r="N598" s="1" t="s">
        <v>447</v>
      </c>
      <c r="O598" s="19">
        <v>581</v>
      </c>
      <c r="P598" s="1" t="s">
        <v>18</v>
      </c>
      <c r="Q598" s="19">
        <v>3</v>
      </c>
      <c r="R598" s="19">
        <v>1</v>
      </c>
      <c r="S598" s="19">
        <v>27</v>
      </c>
      <c r="T598" s="14">
        <v>163000</v>
      </c>
      <c r="U598" s="14">
        <v>182000</v>
      </c>
      <c r="V598" s="14">
        <v>75000</v>
      </c>
      <c r="W598" s="4">
        <f t="shared" si="27"/>
        <v>0.1165644171779141</v>
      </c>
      <c r="Z598" s="11">
        <f t="shared" si="28"/>
        <v>0.41208791208791207</v>
      </c>
      <c r="AA598" s="19">
        <f t="shared" si="29"/>
        <v>107000</v>
      </c>
    </row>
    <row r="599" spans="2:27" x14ac:dyDescent="0.45">
      <c r="B599" s="7">
        <v>1034</v>
      </c>
      <c r="C599" s="1" t="s">
        <v>14</v>
      </c>
      <c r="D599" s="1" t="s">
        <v>816</v>
      </c>
      <c r="E599" s="1" t="s">
        <v>846</v>
      </c>
      <c r="F599" s="1" t="s">
        <v>818</v>
      </c>
      <c r="G599" s="19">
        <v>5</v>
      </c>
      <c r="H599" s="19">
        <v>20</v>
      </c>
      <c r="I599" s="19">
        <v>25</v>
      </c>
      <c r="J599" s="19">
        <v>30</v>
      </c>
      <c r="K599" s="2" t="s">
        <v>847</v>
      </c>
      <c r="L599" s="2" t="s">
        <v>439</v>
      </c>
      <c r="M599" s="19">
        <v>2007</v>
      </c>
      <c r="N599" s="1" t="s">
        <v>434</v>
      </c>
      <c r="O599" s="19">
        <v>1122</v>
      </c>
      <c r="P599" s="1" t="s">
        <v>18</v>
      </c>
      <c r="Q599" s="19">
        <v>3</v>
      </c>
      <c r="R599" s="19">
        <v>2</v>
      </c>
      <c r="S599" s="19">
        <v>32</v>
      </c>
      <c r="T599" s="14">
        <v>148000</v>
      </c>
      <c r="U599" s="14">
        <v>183000</v>
      </c>
      <c r="V599" s="14">
        <v>78000</v>
      </c>
      <c r="W599" s="4">
        <f t="shared" si="27"/>
        <v>0.23648648648648649</v>
      </c>
      <c r="Z599" s="11">
        <f t="shared" si="28"/>
        <v>0.42622950819672129</v>
      </c>
      <c r="AA599" s="19">
        <f t="shared" si="29"/>
        <v>105000</v>
      </c>
    </row>
    <row r="600" spans="2:27" x14ac:dyDescent="0.45">
      <c r="B600" s="7">
        <v>242</v>
      </c>
      <c r="C600" s="1" t="s">
        <v>48</v>
      </c>
      <c r="D600" s="1" t="s">
        <v>508</v>
      </c>
      <c r="E600" s="1" t="s">
        <v>523</v>
      </c>
      <c r="F600" s="1" t="s">
        <v>520</v>
      </c>
      <c r="G600" s="19">
        <v>3</v>
      </c>
      <c r="H600" s="19">
        <v>45</v>
      </c>
      <c r="I600" s="19">
        <v>49</v>
      </c>
      <c r="J600" s="19">
        <v>44</v>
      </c>
      <c r="K600" s="1" t="s">
        <v>150</v>
      </c>
      <c r="L600" s="2" t="s">
        <v>453</v>
      </c>
      <c r="M600" s="19">
        <v>2019</v>
      </c>
      <c r="N600" s="1" t="s">
        <v>434</v>
      </c>
      <c r="O600" s="19">
        <v>1900</v>
      </c>
      <c r="P600" s="1" t="s">
        <v>18</v>
      </c>
      <c r="Q600" s="19">
        <v>3</v>
      </c>
      <c r="R600" s="19">
        <v>2</v>
      </c>
      <c r="S600" s="19">
        <v>25</v>
      </c>
      <c r="T600" s="14">
        <v>143000</v>
      </c>
      <c r="U600" s="14">
        <v>184000</v>
      </c>
      <c r="V600" s="14">
        <v>80000</v>
      </c>
      <c r="W600" s="4">
        <f t="shared" si="27"/>
        <v>0.28671328671328672</v>
      </c>
      <c r="Z600" s="11">
        <f t="shared" si="28"/>
        <v>0.43478260869565216</v>
      </c>
      <c r="AA600" s="19">
        <f t="shared" si="29"/>
        <v>104000</v>
      </c>
    </row>
    <row r="601" spans="2:27" x14ac:dyDescent="0.45">
      <c r="B601" s="7">
        <v>631</v>
      </c>
      <c r="C601" s="1" t="s">
        <v>72</v>
      </c>
      <c r="D601" s="1" t="s">
        <v>626</v>
      </c>
      <c r="E601" s="1" t="s">
        <v>634</v>
      </c>
      <c r="F601" s="1" t="s">
        <v>635</v>
      </c>
      <c r="G601" s="19">
        <v>5</v>
      </c>
      <c r="H601" s="19">
        <v>20</v>
      </c>
      <c r="I601" s="19">
        <v>35</v>
      </c>
      <c r="J601" s="19">
        <v>35</v>
      </c>
      <c r="K601" s="1" t="s">
        <v>363</v>
      </c>
      <c r="L601" s="2" t="s">
        <v>433</v>
      </c>
      <c r="M601" s="19">
        <v>1998</v>
      </c>
      <c r="N601" s="1" t="s">
        <v>447</v>
      </c>
      <c r="O601" s="19">
        <v>625</v>
      </c>
      <c r="P601" s="1" t="s">
        <v>18</v>
      </c>
      <c r="Q601" s="19">
        <v>3</v>
      </c>
      <c r="R601" s="19">
        <v>2</v>
      </c>
      <c r="S601" s="19">
        <v>33</v>
      </c>
      <c r="T601" s="14">
        <v>149000</v>
      </c>
      <c r="U601" s="14">
        <v>185000</v>
      </c>
      <c r="V601" s="14">
        <v>95000</v>
      </c>
      <c r="W601" s="4">
        <f t="shared" si="27"/>
        <v>0.24161073825503357</v>
      </c>
      <c r="Z601" s="11">
        <f t="shared" si="28"/>
        <v>0.51351351351351349</v>
      </c>
      <c r="AA601" s="19">
        <f t="shared" si="29"/>
        <v>90000</v>
      </c>
    </row>
    <row r="602" spans="2:27" x14ac:dyDescent="0.45">
      <c r="B602" s="7">
        <v>633</v>
      </c>
      <c r="C602" s="1" t="s">
        <v>72</v>
      </c>
      <c r="D602" s="1" t="s">
        <v>626</v>
      </c>
      <c r="E602" s="1" t="s">
        <v>636</v>
      </c>
      <c r="F602" s="1" t="s">
        <v>635</v>
      </c>
      <c r="G602" s="19">
        <v>4</v>
      </c>
      <c r="H602" s="19">
        <v>18</v>
      </c>
      <c r="I602" s="19">
        <v>34</v>
      </c>
      <c r="J602" s="19">
        <v>34</v>
      </c>
      <c r="K602" s="1" t="s">
        <v>362</v>
      </c>
      <c r="L602" s="2" t="s">
        <v>433</v>
      </c>
      <c r="M602" s="19">
        <v>1989</v>
      </c>
      <c r="N602" s="1" t="s">
        <v>440</v>
      </c>
      <c r="O602" s="19">
        <v>464</v>
      </c>
      <c r="P602" s="1" t="s">
        <v>18</v>
      </c>
      <c r="Q602" s="19">
        <v>3</v>
      </c>
      <c r="R602" s="19">
        <v>2</v>
      </c>
      <c r="S602" s="19">
        <v>33</v>
      </c>
      <c r="T602" s="14">
        <v>170000</v>
      </c>
      <c r="U602" s="14">
        <v>185000</v>
      </c>
      <c r="V602" s="14">
        <v>75000</v>
      </c>
      <c r="W602" s="4">
        <f t="shared" si="27"/>
        <v>8.8235294117647065E-2</v>
      </c>
      <c r="Z602" s="11">
        <f t="shared" si="28"/>
        <v>0.40540540540540543</v>
      </c>
      <c r="AA602" s="19">
        <f t="shared" si="29"/>
        <v>110000</v>
      </c>
    </row>
    <row r="603" spans="2:27" x14ac:dyDescent="0.45">
      <c r="B603" s="7">
        <v>1018</v>
      </c>
      <c r="C603" s="1" t="s">
        <v>14</v>
      </c>
      <c r="D603" s="1" t="s">
        <v>816</v>
      </c>
      <c r="E603" s="1" t="s">
        <v>843</v>
      </c>
      <c r="F603" s="1" t="s">
        <v>844</v>
      </c>
      <c r="G603" s="19">
        <v>5</v>
      </c>
      <c r="H603" s="19">
        <v>20</v>
      </c>
      <c r="I603" s="19">
        <v>26</v>
      </c>
      <c r="J603" s="19">
        <v>33</v>
      </c>
      <c r="K603" s="2" t="s">
        <v>251</v>
      </c>
      <c r="L603" s="2" t="s">
        <v>453</v>
      </c>
      <c r="M603" s="19">
        <v>2021</v>
      </c>
      <c r="N603" s="1" t="s">
        <v>447</v>
      </c>
      <c r="O603" s="19">
        <v>950</v>
      </c>
      <c r="P603" s="1" t="s">
        <v>18</v>
      </c>
      <c r="Q603" s="19">
        <v>3</v>
      </c>
      <c r="R603" s="19">
        <v>2</v>
      </c>
      <c r="S603" s="19">
        <v>24</v>
      </c>
      <c r="T603" s="14">
        <v>145800</v>
      </c>
      <c r="U603" s="14">
        <v>185000</v>
      </c>
      <c r="V603" s="14">
        <v>80000</v>
      </c>
      <c r="W603" s="4">
        <f t="shared" si="27"/>
        <v>0.26886145404663925</v>
      </c>
      <c r="Z603" s="11">
        <f t="shared" si="28"/>
        <v>0.43243243243243246</v>
      </c>
      <c r="AA603" s="19">
        <f t="shared" si="29"/>
        <v>105000</v>
      </c>
    </row>
    <row r="604" spans="2:27" x14ac:dyDescent="0.45">
      <c r="B604" s="7">
        <v>1019</v>
      </c>
      <c r="C604" s="1" t="s">
        <v>14</v>
      </c>
      <c r="D604" s="1" t="s">
        <v>816</v>
      </c>
      <c r="E604" s="1" t="s">
        <v>843</v>
      </c>
      <c r="F604" s="1" t="s">
        <v>844</v>
      </c>
      <c r="G604" s="19">
        <v>5</v>
      </c>
      <c r="H604" s="19">
        <v>20</v>
      </c>
      <c r="I604" s="19">
        <v>26</v>
      </c>
      <c r="J604" s="19">
        <v>33</v>
      </c>
      <c r="K604" s="2" t="s">
        <v>251</v>
      </c>
      <c r="L604" s="2" t="s">
        <v>453</v>
      </c>
      <c r="M604" s="19">
        <v>2021</v>
      </c>
      <c r="N604" s="1" t="s">
        <v>447</v>
      </c>
      <c r="O604" s="19">
        <v>950</v>
      </c>
      <c r="P604" s="1" t="s">
        <v>18</v>
      </c>
      <c r="Q604" s="19">
        <v>3</v>
      </c>
      <c r="R604" s="19">
        <v>2</v>
      </c>
      <c r="S604" s="19">
        <v>29</v>
      </c>
      <c r="T604" s="14">
        <v>0</v>
      </c>
      <c r="U604" s="14">
        <v>185000</v>
      </c>
      <c r="V604" s="14">
        <v>77000</v>
      </c>
      <c r="W604" s="4" t="e">
        <f t="shared" si="27"/>
        <v>#DIV/0!</v>
      </c>
      <c r="Z604" s="11">
        <f t="shared" si="28"/>
        <v>0.41621621621621624</v>
      </c>
      <c r="AA604" s="19">
        <f t="shared" si="29"/>
        <v>108000</v>
      </c>
    </row>
    <row r="605" spans="2:27" x14ac:dyDescent="0.45">
      <c r="B605" s="7">
        <v>1121</v>
      </c>
      <c r="C605" s="1" t="s">
        <v>14</v>
      </c>
      <c r="D605" s="1" t="s">
        <v>816</v>
      </c>
      <c r="E605" s="1" t="s">
        <v>864</v>
      </c>
      <c r="F605" s="1" t="s">
        <v>842</v>
      </c>
      <c r="G605" s="19">
        <v>5</v>
      </c>
      <c r="H605" s="19">
        <v>28</v>
      </c>
      <c r="I605" s="19">
        <v>15</v>
      </c>
      <c r="J605" s="19">
        <v>32</v>
      </c>
      <c r="K605" s="2" t="s">
        <v>865</v>
      </c>
      <c r="L605" s="2" t="s">
        <v>453</v>
      </c>
      <c r="M605" s="19">
        <v>2018</v>
      </c>
      <c r="N605" s="1" t="s">
        <v>447</v>
      </c>
      <c r="O605" s="19">
        <v>893</v>
      </c>
      <c r="P605" s="1" t="s">
        <v>18</v>
      </c>
      <c r="Q605" s="19">
        <v>3</v>
      </c>
      <c r="R605" s="19">
        <v>2</v>
      </c>
      <c r="S605" s="19">
        <v>25</v>
      </c>
      <c r="T605" s="14">
        <v>154500</v>
      </c>
      <c r="U605" s="14">
        <v>185000</v>
      </c>
      <c r="V605" s="14">
        <v>78000</v>
      </c>
      <c r="W605" s="4">
        <f t="shared" si="27"/>
        <v>0.19741100323624594</v>
      </c>
      <c r="Z605" s="11">
        <f t="shared" si="28"/>
        <v>0.42162162162162165</v>
      </c>
      <c r="AA605" s="19">
        <f t="shared" si="29"/>
        <v>107000</v>
      </c>
    </row>
    <row r="606" spans="2:27" x14ac:dyDescent="0.45">
      <c r="B606" s="7">
        <v>1523</v>
      </c>
      <c r="C606" s="1" t="s">
        <v>19</v>
      </c>
      <c r="D606" s="1" t="s">
        <v>964</v>
      </c>
      <c r="E606" s="1" t="s">
        <v>982</v>
      </c>
      <c r="F606" s="1" t="s">
        <v>640</v>
      </c>
      <c r="G606" s="19">
        <v>5</v>
      </c>
      <c r="H606" s="19">
        <v>25</v>
      </c>
      <c r="I606" s="19">
        <v>35</v>
      </c>
      <c r="J606" s="19">
        <v>30</v>
      </c>
      <c r="K606" s="1" t="s">
        <v>271</v>
      </c>
      <c r="L606" s="2" t="s">
        <v>439</v>
      </c>
      <c r="M606" s="19">
        <v>2003</v>
      </c>
      <c r="N606" s="1" t="s">
        <v>447</v>
      </c>
      <c r="O606" s="19">
        <v>656</v>
      </c>
      <c r="P606" s="1" t="s">
        <v>18</v>
      </c>
      <c r="Q606" s="19">
        <v>3</v>
      </c>
      <c r="R606" s="19">
        <v>2</v>
      </c>
      <c r="S606" s="19">
        <v>33</v>
      </c>
      <c r="T606" s="14">
        <v>165000</v>
      </c>
      <c r="U606" s="14">
        <v>185000</v>
      </c>
      <c r="V606" s="14">
        <v>83000</v>
      </c>
      <c r="W606" s="4">
        <f t="shared" si="27"/>
        <v>0.12121212121212122</v>
      </c>
      <c r="Z606" s="11">
        <f t="shared" si="28"/>
        <v>0.44864864864864867</v>
      </c>
      <c r="AA606" s="19">
        <f t="shared" si="29"/>
        <v>102000</v>
      </c>
    </row>
    <row r="607" spans="2:27" x14ac:dyDescent="0.45">
      <c r="B607" s="7">
        <v>1556</v>
      </c>
      <c r="C607" s="1" t="s">
        <v>8</v>
      </c>
      <c r="D607" s="1" t="s">
        <v>964</v>
      </c>
      <c r="E607" s="1" t="s">
        <v>990</v>
      </c>
      <c r="F607" s="1" t="s">
        <v>974</v>
      </c>
      <c r="G607" s="19">
        <v>7</v>
      </c>
      <c r="H607" s="19">
        <v>28</v>
      </c>
      <c r="I607" s="19">
        <v>30</v>
      </c>
      <c r="J607" s="19">
        <v>25</v>
      </c>
      <c r="K607" s="1" t="s">
        <v>106</v>
      </c>
      <c r="L607" s="2" t="s">
        <v>439</v>
      </c>
      <c r="M607" s="19">
        <v>2001</v>
      </c>
      <c r="N607" s="1" t="s">
        <v>434</v>
      </c>
      <c r="O607" s="19">
        <v>1150</v>
      </c>
      <c r="P607" s="1" t="s">
        <v>18</v>
      </c>
      <c r="Q607" s="19">
        <v>3</v>
      </c>
      <c r="R607" s="19">
        <v>2</v>
      </c>
      <c r="S607" s="19">
        <v>33</v>
      </c>
      <c r="T607" s="14">
        <v>163000</v>
      </c>
      <c r="U607" s="14">
        <v>185000</v>
      </c>
      <c r="V607" s="14">
        <v>75000</v>
      </c>
      <c r="W607" s="4">
        <f t="shared" si="27"/>
        <v>0.13496932515337423</v>
      </c>
      <c r="Z607" s="11">
        <f t="shared" si="28"/>
        <v>0.40540540540540543</v>
      </c>
      <c r="AA607" s="19">
        <f t="shared" si="29"/>
        <v>110000</v>
      </c>
    </row>
    <row r="608" spans="2:27" x14ac:dyDescent="0.45">
      <c r="B608" s="7">
        <v>1732</v>
      </c>
      <c r="C608" s="1" t="s">
        <v>22</v>
      </c>
      <c r="D608" s="1" t="s">
        <v>1032</v>
      </c>
      <c r="E608" s="1" t="s">
        <v>1034</v>
      </c>
      <c r="F608" s="1" t="s">
        <v>1035</v>
      </c>
      <c r="G608" s="19" t="s">
        <v>1248</v>
      </c>
      <c r="H608" s="19">
        <v>25</v>
      </c>
      <c r="I608" s="19">
        <v>45</v>
      </c>
      <c r="J608" s="19">
        <v>48</v>
      </c>
      <c r="K608" s="2" t="s">
        <v>415</v>
      </c>
      <c r="L608" s="2" t="s">
        <v>453</v>
      </c>
      <c r="M608" s="19">
        <v>2018</v>
      </c>
      <c r="N608" s="1" t="s">
        <v>434</v>
      </c>
      <c r="O608" s="19">
        <v>9510</v>
      </c>
      <c r="P608" s="1" t="s">
        <v>18</v>
      </c>
      <c r="Q608" s="19">
        <v>2</v>
      </c>
      <c r="R608" s="19">
        <v>1</v>
      </c>
      <c r="S608" s="19">
        <v>18</v>
      </c>
      <c r="T608" s="14">
        <v>129500</v>
      </c>
      <c r="U608" s="14">
        <v>185000</v>
      </c>
      <c r="V608" s="14">
        <v>80000</v>
      </c>
      <c r="W608" s="4">
        <f t="shared" si="27"/>
        <v>0.42857142857142855</v>
      </c>
      <c r="Z608" s="11">
        <f t="shared" si="28"/>
        <v>0.43243243243243246</v>
      </c>
      <c r="AA608" s="19">
        <f t="shared" si="29"/>
        <v>105000</v>
      </c>
    </row>
    <row r="609" spans="2:27" x14ac:dyDescent="0.45">
      <c r="B609" s="7">
        <v>1965</v>
      </c>
      <c r="C609" s="1" t="s">
        <v>143</v>
      </c>
      <c r="D609" s="1" t="s">
        <v>1077</v>
      </c>
      <c r="E609" s="1" t="s">
        <v>1106</v>
      </c>
      <c r="F609" s="1" t="s">
        <v>1078</v>
      </c>
      <c r="G609" s="19">
        <v>5</v>
      </c>
      <c r="H609" s="19">
        <v>48</v>
      </c>
      <c r="I609" s="19">
        <v>25</v>
      </c>
      <c r="J609" s="19">
        <v>35</v>
      </c>
      <c r="K609" s="1" t="s">
        <v>144</v>
      </c>
      <c r="L609" s="2" t="s">
        <v>453</v>
      </c>
      <c r="M609" s="19">
        <v>2021</v>
      </c>
      <c r="N609" s="1" t="s">
        <v>434</v>
      </c>
      <c r="O609" s="19">
        <v>1497</v>
      </c>
      <c r="P609" s="1" t="s">
        <v>18</v>
      </c>
      <c r="Q609" s="19">
        <v>3</v>
      </c>
      <c r="R609" s="19">
        <v>2</v>
      </c>
      <c r="S609" s="19">
        <v>33</v>
      </c>
      <c r="T609" s="14">
        <v>169000</v>
      </c>
      <c r="U609" s="14">
        <v>185000</v>
      </c>
      <c r="V609" s="14">
        <v>100000</v>
      </c>
      <c r="W609" s="4">
        <f t="shared" si="27"/>
        <v>9.4674556213017749E-2</v>
      </c>
      <c r="Z609" s="11">
        <f t="shared" si="28"/>
        <v>0.54054054054054057</v>
      </c>
      <c r="AA609" s="19">
        <f t="shared" si="29"/>
        <v>85000</v>
      </c>
    </row>
    <row r="610" spans="2:27" x14ac:dyDescent="0.45">
      <c r="B610" s="7">
        <v>206</v>
      </c>
      <c r="C610" s="1" t="s">
        <v>442</v>
      </c>
      <c r="D610" s="1" t="s">
        <v>436</v>
      </c>
      <c r="E610" s="1" t="s">
        <v>505</v>
      </c>
      <c r="F610" s="1" t="s">
        <v>506</v>
      </c>
      <c r="G610" s="19">
        <v>5</v>
      </c>
      <c r="H610" s="19">
        <v>40</v>
      </c>
      <c r="I610" s="19">
        <v>65</v>
      </c>
      <c r="J610" s="19">
        <v>72</v>
      </c>
      <c r="K610" s="2" t="s">
        <v>507</v>
      </c>
      <c r="L610" s="2" t="s">
        <v>439</v>
      </c>
      <c r="M610" s="19">
        <v>2012</v>
      </c>
      <c r="N610" s="1" t="s">
        <v>447</v>
      </c>
      <c r="O610" s="19">
        <v>912</v>
      </c>
      <c r="P610" s="1" t="s">
        <v>18</v>
      </c>
      <c r="Q610" s="19">
        <v>3</v>
      </c>
      <c r="R610" s="19">
        <v>2</v>
      </c>
      <c r="S610" s="19">
        <v>30</v>
      </c>
      <c r="T610" s="14">
        <v>164500</v>
      </c>
      <c r="U610" s="14">
        <v>187000</v>
      </c>
      <c r="V610" s="14">
        <v>78000</v>
      </c>
      <c r="W610" s="4">
        <f t="shared" si="27"/>
        <v>0.13677811550151975</v>
      </c>
      <c r="Z610" s="11">
        <f t="shared" si="28"/>
        <v>0.41711229946524064</v>
      </c>
      <c r="AA610" s="19">
        <f t="shared" si="29"/>
        <v>109000</v>
      </c>
    </row>
    <row r="611" spans="2:27" x14ac:dyDescent="0.45">
      <c r="B611" s="7">
        <v>699</v>
      </c>
      <c r="C611" s="1" t="s">
        <v>52</v>
      </c>
      <c r="D611" s="1" t="s">
        <v>652</v>
      </c>
      <c r="E611" s="1" t="s">
        <v>670</v>
      </c>
      <c r="F611" s="1" t="s">
        <v>666</v>
      </c>
      <c r="G611" s="19">
        <v>3</v>
      </c>
      <c r="H611" s="19">
        <v>33</v>
      </c>
      <c r="I611" s="19">
        <v>13</v>
      </c>
      <c r="J611" s="19">
        <v>23</v>
      </c>
      <c r="K611" s="1" t="s">
        <v>298</v>
      </c>
      <c r="L611" s="2" t="s">
        <v>439</v>
      </c>
      <c r="M611" s="19">
        <v>2003</v>
      </c>
      <c r="N611" s="1" t="s">
        <v>447</v>
      </c>
      <c r="O611" s="19">
        <v>853</v>
      </c>
      <c r="P611" s="5" t="s">
        <v>18</v>
      </c>
      <c r="Q611" s="18">
        <v>3</v>
      </c>
      <c r="R611" s="19">
        <v>2</v>
      </c>
      <c r="S611" s="18">
        <v>33</v>
      </c>
      <c r="T611" s="14">
        <v>163500</v>
      </c>
      <c r="U611" s="14">
        <v>187000</v>
      </c>
      <c r="V611" s="14">
        <v>87000</v>
      </c>
      <c r="W611" s="4">
        <f t="shared" si="27"/>
        <v>0.14373088685015289</v>
      </c>
      <c r="Z611" s="11">
        <f t="shared" si="28"/>
        <v>0.46524064171122997</v>
      </c>
      <c r="AA611" s="19">
        <f t="shared" si="29"/>
        <v>100000</v>
      </c>
    </row>
    <row r="612" spans="2:27" x14ac:dyDescent="0.45">
      <c r="B612" s="7">
        <v>950</v>
      </c>
      <c r="C612" s="1" t="s">
        <v>14</v>
      </c>
      <c r="D612" s="1" t="s">
        <v>816</v>
      </c>
      <c r="E612" s="1" t="s">
        <v>817</v>
      </c>
      <c r="F612" s="1" t="s">
        <v>818</v>
      </c>
      <c r="G612" s="19">
        <v>4</v>
      </c>
      <c r="H612" s="19">
        <v>18</v>
      </c>
      <c r="I612" s="19">
        <v>23</v>
      </c>
      <c r="J612" s="19">
        <v>28</v>
      </c>
      <c r="K612" s="2" t="s">
        <v>430</v>
      </c>
      <c r="L612" s="2" t="s">
        <v>439</v>
      </c>
      <c r="M612" s="19">
        <v>2012</v>
      </c>
      <c r="N612" s="1" t="s">
        <v>434</v>
      </c>
      <c r="O612" s="19">
        <v>1559</v>
      </c>
      <c r="P612" s="1" t="s">
        <v>18</v>
      </c>
      <c r="Q612" s="19">
        <v>3</v>
      </c>
      <c r="R612" s="19">
        <v>2</v>
      </c>
      <c r="S612" s="19">
        <v>33</v>
      </c>
      <c r="T612" s="14">
        <v>162900</v>
      </c>
      <c r="U612" s="14">
        <v>187000</v>
      </c>
      <c r="V612" s="14">
        <v>87000</v>
      </c>
      <c r="W612" s="4">
        <f t="shared" si="27"/>
        <v>0.14794352363413138</v>
      </c>
      <c r="Z612" s="11">
        <f t="shared" si="28"/>
        <v>0.46524064171122997</v>
      </c>
      <c r="AA612" s="19">
        <f t="shared" si="29"/>
        <v>100000</v>
      </c>
    </row>
    <row r="613" spans="2:27" x14ac:dyDescent="0.45">
      <c r="B613" s="7">
        <v>1763</v>
      </c>
      <c r="C613" s="1" t="s">
        <v>24</v>
      </c>
      <c r="D613" s="1" t="s">
        <v>1032</v>
      </c>
      <c r="E613" s="1" t="s">
        <v>1045</v>
      </c>
      <c r="F613" s="1" t="s">
        <v>1046</v>
      </c>
      <c r="G613" s="19">
        <v>5</v>
      </c>
      <c r="H613" s="19">
        <v>15</v>
      </c>
      <c r="I613" s="19">
        <v>32</v>
      </c>
      <c r="J613" s="19">
        <v>40</v>
      </c>
      <c r="K613" s="2" t="s">
        <v>368</v>
      </c>
      <c r="L613" s="2" t="s">
        <v>433</v>
      </c>
      <c r="M613" s="19">
        <v>1990</v>
      </c>
      <c r="N613" s="1" t="s">
        <v>440</v>
      </c>
      <c r="O613" s="19">
        <v>336</v>
      </c>
      <c r="P613" s="1" t="s">
        <v>18</v>
      </c>
      <c r="Q613" s="19">
        <v>3</v>
      </c>
      <c r="R613" s="19">
        <v>1</v>
      </c>
      <c r="S613" s="19">
        <v>26</v>
      </c>
      <c r="T613" s="14">
        <v>123000</v>
      </c>
      <c r="U613" s="14">
        <v>187000</v>
      </c>
      <c r="V613" s="14">
        <v>77000</v>
      </c>
      <c r="W613" s="4">
        <f t="shared" si="27"/>
        <v>0.52032520325203258</v>
      </c>
      <c r="Z613" s="11">
        <f t="shared" si="28"/>
        <v>0.41176470588235292</v>
      </c>
      <c r="AA613" s="19">
        <f t="shared" si="29"/>
        <v>110000</v>
      </c>
    </row>
    <row r="614" spans="2:27" x14ac:dyDescent="0.45">
      <c r="B614" s="7">
        <v>657</v>
      </c>
      <c r="C614" s="1" t="s">
        <v>62</v>
      </c>
      <c r="D614" s="1" t="s">
        <v>626</v>
      </c>
      <c r="E614" s="1" t="s">
        <v>646</v>
      </c>
      <c r="F614" s="1" t="s">
        <v>643</v>
      </c>
      <c r="G614" s="19">
        <v>5</v>
      </c>
      <c r="H614" s="19">
        <v>33</v>
      </c>
      <c r="I614" s="19">
        <v>49</v>
      </c>
      <c r="J614" s="19">
        <v>39</v>
      </c>
      <c r="K614" s="1" t="s">
        <v>65</v>
      </c>
      <c r="L614" s="2" t="s">
        <v>433</v>
      </c>
      <c r="M614" s="19">
        <v>1999</v>
      </c>
      <c r="N614" s="1" t="s">
        <v>440</v>
      </c>
      <c r="O614" s="19">
        <v>437</v>
      </c>
      <c r="P614" s="1" t="s">
        <v>18</v>
      </c>
      <c r="Q614" s="19">
        <v>3</v>
      </c>
      <c r="R614" s="19">
        <v>1</v>
      </c>
      <c r="S614" s="19">
        <v>25</v>
      </c>
      <c r="T614" s="14">
        <v>133000</v>
      </c>
      <c r="U614" s="14">
        <v>188000</v>
      </c>
      <c r="V614" s="14">
        <v>75000</v>
      </c>
      <c r="W614" s="4">
        <f t="shared" si="27"/>
        <v>0.41353383458646614</v>
      </c>
      <c r="Z614" s="11">
        <f t="shared" si="28"/>
        <v>0.39893617021276595</v>
      </c>
      <c r="AA614" s="19">
        <f t="shared" si="29"/>
        <v>113000</v>
      </c>
    </row>
    <row r="615" spans="2:27" x14ac:dyDescent="0.45">
      <c r="B615" s="7">
        <v>856</v>
      </c>
      <c r="C615" s="1" t="s">
        <v>161</v>
      </c>
      <c r="D615" s="1" t="s">
        <v>781</v>
      </c>
      <c r="E615" s="1" t="s">
        <v>790</v>
      </c>
      <c r="F615" s="1" t="s">
        <v>783</v>
      </c>
      <c r="G615" s="19">
        <v>12</v>
      </c>
      <c r="H615" s="19">
        <v>35</v>
      </c>
      <c r="I615" s="19">
        <v>30</v>
      </c>
      <c r="J615" s="19">
        <v>25</v>
      </c>
      <c r="K615" s="1" t="s">
        <v>406</v>
      </c>
      <c r="L615" s="2" t="s">
        <v>453</v>
      </c>
      <c r="M615" s="19">
        <v>2023</v>
      </c>
      <c r="N615" s="1" t="s">
        <v>434</v>
      </c>
      <c r="O615" s="19">
        <v>1425</v>
      </c>
      <c r="P615" s="1" t="s">
        <v>18</v>
      </c>
      <c r="Q615" s="19">
        <v>3</v>
      </c>
      <c r="R615" s="19">
        <v>2</v>
      </c>
      <c r="S615" s="19">
        <v>33</v>
      </c>
      <c r="T615" s="14">
        <v>166500</v>
      </c>
      <c r="U615" s="14">
        <v>188000</v>
      </c>
      <c r="V615" s="14">
        <v>80000</v>
      </c>
      <c r="W615" s="4">
        <f t="shared" si="27"/>
        <v>0.12912912912912913</v>
      </c>
      <c r="Z615" s="11">
        <f t="shared" si="28"/>
        <v>0.42553191489361702</v>
      </c>
      <c r="AA615" s="19">
        <f t="shared" si="29"/>
        <v>108000</v>
      </c>
    </row>
    <row r="616" spans="2:27" x14ac:dyDescent="0.45">
      <c r="B616" s="7">
        <v>1062</v>
      </c>
      <c r="C616" s="1" t="s">
        <v>89</v>
      </c>
      <c r="D616" s="1" t="s">
        <v>816</v>
      </c>
      <c r="E616" s="1" t="s">
        <v>852</v>
      </c>
      <c r="F616" s="1" t="s">
        <v>853</v>
      </c>
      <c r="G616" s="19">
        <v>6</v>
      </c>
      <c r="H616" s="19">
        <v>20</v>
      </c>
      <c r="I616" s="19">
        <v>25</v>
      </c>
      <c r="J616" s="19">
        <v>32</v>
      </c>
      <c r="K616" s="2" t="s">
        <v>233</v>
      </c>
      <c r="L616" s="2" t="s">
        <v>433</v>
      </c>
      <c r="M616" s="19">
        <v>1993</v>
      </c>
      <c r="N616" s="1" t="s">
        <v>434</v>
      </c>
      <c r="O616" s="19">
        <v>1080</v>
      </c>
      <c r="P616" s="1" t="s">
        <v>5</v>
      </c>
      <c r="Q616" s="19">
        <v>3</v>
      </c>
      <c r="R616" s="19">
        <v>2</v>
      </c>
      <c r="S616" s="19">
        <v>33</v>
      </c>
      <c r="T616" s="14">
        <v>148000</v>
      </c>
      <c r="U616" s="14">
        <v>188000</v>
      </c>
      <c r="V616" s="14">
        <v>70000</v>
      </c>
      <c r="W616" s="4">
        <f t="shared" si="27"/>
        <v>0.27027027027027029</v>
      </c>
      <c r="Z616" s="11">
        <f t="shared" si="28"/>
        <v>0.37234042553191488</v>
      </c>
      <c r="AA616" s="19">
        <f t="shared" si="29"/>
        <v>118000</v>
      </c>
    </row>
    <row r="617" spans="2:27" x14ac:dyDescent="0.45">
      <c r="B617" s="7">
        <v>1294</v>
      </c>
      <c r="C617" s="1" t="s">
        <v>2</v>
      </c>
      <c r="D617" s="1" t="s">
        <v>899</v>
      </c>
      <c r="E617" s="1" t="s">
        <v>913</v>
      </c>
      <c r="F617" s="1" t="s">
        <v>903</v>
      </c>
      <c r="G617" s="19">
        <v>4</v>
      </c>
      <c r="H617" s="19">
        <v>42</v>
      </c>
      <c r="I617" s="19">
        <v>28</v>
      </c>
      <c r="J617" s="19">
        <v>12</v>
      </c>
      <c r="K617" s="1" t="s">
        <v>257</v>
      </c>
      <c r="L617" s="2" t="s">
        <v>453</v>
      </c>
      <c r="M617" s="19">
        <v>2022</v>
      </c>
      <c r="N617" s="1" t="s">
        <v>447</v>
      </c>
      <c r="O617" s="19">
        <v>832</v>
      </c>
      <c r="P617" s="1" t="s">
        <v>18</v>
      </c>
      <c r="Q617" s="19">
        <v>3</v>
      </c>
      <c r="R617" s="19">
        <v>2</v>
      </c>
      <c r="S617" s="19">
        <v>33</v>
      </c>
      <c r="T617" s="14">
        <v>0</v>
      </c>
      <c r="U617" s="14">
        <v>188000</v>
      </c>
      <c r="V617" s="14">
        <v>90000</v>
      </c>
      <c r="W617" s="4" t="e">
        <f t="shared" si="27"/>
        <v>#DIV/0!</v>
      </c>
      <c r="Z617" s="11">
        <f t="shared" si="28"/>
        <v>0.47872340425531917</v>
      </c>
      <c r="AA617" s="19">
        <f t="shared" si="29"/>
        <v>98000</v>
      </c>
    </row>
    <row r="618" spans="2:27" x14ac:dyDescent="0.45">
      <c r="B618" s="7">
        <v>675</v>
      </c>
      <c r="C618" s="1" t="s">
        <v>625</v>
      </c>
      <c r="D618" s="1" t="s">
        <v>626</v>
      </c>
      <c r="E618" s="1" t="s">
        <v>651</v>
      </c>
      <c r="F618" s="1" t="s">
        <v>630</v>
      </c>
      <c r="G618" s="19">
        <v>3</v>
      </c>
      <c r="H618" s="19">
        <v>28</v>
      </c>
      <c r="I618" s="19">
        <v>45</v>
      </c>
      <c r="J618" s="19">
        <v>40</v>
      </c>
      <c r="K618" s="1" t="s">
        <v>30</v>
      </c>
      <c r="L618" s="2" t="s">
        <v>433</v>
      </c>
      <c r="M618" s="19">
        <v>1992</v>
      </c>
      <c r="N618" s="1" t="s">
        <v>440</v>
      </c>
      <c r="O618" s="19">
        <v>354</v>
      </c>
      <c r="P618" s="1" t="s">
        <v>18</v>
      </c>
      <c r="Q618" s="19">
        <v>3</v>
      </c>
      <c r="R618" s="19">
        <v>2</v>
      </c>
      <c r="S618" s="19">
        <v>29</v>
      </c>
      <c r="T618" s="14">
        <v>139000</v>
      </c>
      <c r="U618" s="14">
        <v>189000</v>
      </c>
      <c r="V618" s="14">
        <v>74500</v>
      </c>
      <c r="W618" s="4">
        <f t="shared" si="27"/>
        <v>0.35971223021582732</v>
      </c>
      <c r="Z618" s="11">
        <f t="shared" si="28"/>
        <v>0.39417989417989419</v>
      </c>
      <c r="AA618" s="19">
        <f t="shared" si="29"/>
        <v>114500</v>
      </c>
    </row>
    <row r="619" spans="2:27" x14ac:dyDescent="0.45">
      <c r="B619" s="7">
        <v>1527</v>
      </c>
      <c r="C619" s="1" t="s">
        <v>19</v>
      </c>
      <c r="D619" s="1" t="s">
        <v>964</v>
      </c>
      <c r="E619" s="1" t="s">
        <v>983</v>
      </c>
      <c r="F619" s="1" t="s">
        <v>640</v>
      </c>
      <c r="G619" s="19">
        <v>4</v>
      </c>
      <c r="H619" s="19">
        <v>25</v>
      </c>
      <c r="I619" s="19">
        <v>35</v>
      </c>
      <c r="J619" s="19">
        <v>30</v>
      </c>
      <c r="K619" s="1" t="s">
        <v>270</v>
      </c>
      <c r="L619" s="2" t="s">
        <v>433</v>
      </c>
      <c r="M619" s="19">
        <v>1997</v>
      </c>
      <c r="N619" s="1" t="s">
        <v>447</v>
      </c>
      <c r="O619" s="19">
        <v>777</v>
      </c>
      <c r="P619" s="1" t="s">
        <v>18</v>
      </c>
      <c r="Q619" s="19">
        <v>3</v>
      </c>
      <c r="R619" s="19">
        <v>1</v>
      </c>
      <c r="S619" s="19">
        <v>25</v>
      </c>
      <c r="T619" s="14">
        <v>140000</v>
      </c>
      <c r="U619" s="14">
        <v>189000</v>
      </c>
      <c r="V619" s="14">
        <v>65000</v>
      </c>
      <c r="W619" s="4">
        <f t="shared" si="27"/>
        <v>0.35</v>
      </c>
      <c r="Z619" s="11">
        <f t="shared" si="28"/>
        <v>0.3439153439153439</v>
      </c>
      <c r="AA619" s="19">
        <f t="shared" si="29"/>
        <v>124000</v>
      </c>
    </row>
    <row r="620" spans="2:27" x14ac:dyDescent="0.45">
      <c r="B620" s="7">
        <v>179</v>
      </c>
      <c r="C620" s="1" t="s">
        <v>441</v>
      </c>
      <c r="D620" s="1" t="s">
        <v>436</v>
      </c>
      <c r="E620" s="1" t="s">
        <v>500</v>
      </c>
      <c r="F620" s="1" t="s">
        <v>499</v>
      </c>
      <c r="G620" s="19">
        <v>5</v>
      </c>
      <c r="H620" s="19">
        <v>25</v>
      </c>
      <c r="I620" s="19">
        <v>45</v>
      </c>
      <c r="J620" s="19">
        <v>55</v>
      </c>
      <c r="K620" s="2" t="s">
        <v>501</v>
      </c>
      <c r="L620" s="2" t="s">
        <v>433</v>
      </c>
      <c r="M620" s="19">
        <v>1992</v>
      </c>
      <c r="N620" s="1" t="s">
        <v>434</v>
      </c>
      <c r="O620" s="19">
        <v>1758</v>
      </c>
      <c r="P620" s="1" t="s">
        <v>5</v>
      </c>
      <c r="Q620" s="19">
        <v>2</v>
      </c>
      <c r="R620" s="19">
        <v>1</v>
      </c>
      <c r="S620" s="19">
        <v>17</v>
      </c>
      <c r="T620" s="14">
        <v>140000</v>
      </c>
      <c r="U620" s="14">
        <v>190000</v>
      </c>
      <c r="V620" s="14">
        <v>50000</v>
      </c>
      <c r="W620" s="4">
        <f t="shared" si="27"/>
        <v>0.35714285714285715</v>
      </c>
      <c r="Z620" s="11">
        <f t="shared" si="28"/>
        <v>0.26315789473684209</v>
      </c>
      <c r="AA620" s="19">
        <f t="shared" si="29"/>
        <v>140000</v>
      </c>
    </row>
    <row r="621" spans="2:27" x14ac:dyDescent="0.45">
      <c r="B621" s="7">
        <v>278</v>
      </c>
      <c r="C621" s="1" t="s">
        <v>48</v>
      </c>
      <c r="D621" s="1" t="s">
        <v>508</v>
      </c>
      <c r="E621" s="1" t="s">
        <v>534</v>
      </c>
      <c r="F621" s="1" t="s">
        <v>535</v>
      </c>
      <c r="G621" s="19">
        <v>5</v>
      </c>
      <c r="H621" s="19">
        <v>52</v>
      </c>
      <c r="I621" s="19">
        <v>56</v>
      </c>
      <c r="J621" s="19">
        <v>50</v>
      </c>
      <c r="K621" s="1" t="s">
        <v>536</v>
      </c>
      <c r="L621" s="2" t="s">
        <v>453</v>
      </c>
      <c r="M621" s="19">
        <v>2016</v>
      </c>
      <c r="N621" s="1" t="s">
        <v>434</v>
      </c>
      <c r="O621" s="19">
        <v>3658</v>
      </c>
      <c r="P621" s="1" t="s">
        <v>18</v>
      </c>
      <c r="Q621" s="19">
        <v>3</v>
      </c>
      <c r="R621" s="19">
        <v>2</v>
      </c>
      <c r="S621" s="19">
        <v>25</v>
      </c>
      <c r="T621" s="14">
        <v>143000</v>
      </c>
      <c r="U621" s="14">
        <v>190000</v>
      </c>
      <c r="V621" s="14">
        <v>80000</v>
      </c>
      <c r="W621" s="4">
        <f t="shared" si="27"/>
        <v>0.32867132867132864</v>
      </c>
      <c r="Z621" s="11">
        <f t="shared" si="28"/>
        <v>0.42105263157894735</v>
      </c>
      <c r="AA621" s="19">
        <f t="shared" si="29"/>
        <v>110000</v>
      </c>
    </row>
    <row r="622" spans="2:27" x14ac:dyDescent="0.45">
      <c r="B622" s="7">
        <v>289</v>
      </c>
      <c r="C622" s="1" t="s">
        <v>6</v>
      </c>
      <c r="D622" s="1" t="s">
        <v>508</v>
      </c>
      <c r="E622" s="1" t="s">
        <v>539</v>
      </c>
      <c r="F622" s="1" t="s">
        <v>540</v>
      </c>
      <c r="G622" s="19">
        <v>5</v>
      </c>
      <c r="H622" s="19">
        <v>42</v>
      </c>
      <c r="I622" s="19">
        <v>52</v>
      </c>
      <c r="J622" s="19">
        <v>50</v>
      </c>
      <c r="K622" s="1" t="s">
        <v>28</v>
      </c>
      <c r="L622" s="2" t="s">
        <v>453</v>
      </c>
      <c r="M622" s="19">
        <v>2024</v>
      </c>
      <c r="N622" s="1" t="s">
        <v>434</v>
      </c>
      <c r="O622" s="19">
        <v>1299</v>
      </c>
      <c r="P622" s="1" t="s">
        <v>18</v>
      </c>
      <c r="Q622" s="19">
        <v>3</v>
      </c>
      <c r="R622" s="19">
        <v>2</v>
      </c>
      <c r="S622" s="19">
        <v>29</v>
      </c>
      <c r="T622" s="14">
        <v>0</v>
      </c>
      <c r="U622" s="14">
        <v>190000</v>
      </c>
      <c r="V622" s="14">
        <v>80000</v>
      </c>
      <c r="W622" s="4" t="e">
        <f t="shared" si="27"/>
        <v>#DIV/0!</v>
      </c>
      <c r="Z622" s="11">
        <f t="shared" si="28"/>
        <v>0.42105263157894735</v>
      </c>
      <c r="AA622" s="19">
        <f t="shared" si="29"/>
        <v>110000</v>
      </c>
    </row>
    <row r="623" spans="2:27" x14ac:dyDescent="0.45">
      <c r="B623" s="7">
        <v>292</v>
      </c>
      <c r="C623" s="1" t="s">
        <v>510</v>
      </c>
      <c r="D623" s="1" t="s">
        <v>508</v>
      </c>
      <c r="E623" s="1" t="s">
        <v>511</v>
      </c>
      <c r="F623" s="1" t="s">
        <v>512</v>
      </c>
      <c r="G623" s="19">
        <v>6</v>
      </c>
      <c r="H623" s="19">
        <v>50</v>
      </c>
      <c r="I623" s="19">
        <v>55</v>
      </c>
      <c r="J623" s="19">
        <v>48</v>
      </c>
      <c r="K623" s="1" t="s">
        <v>27</v>
      </c>
      <c r="L623" s="2" t="s">
        <v>439</v>
      </c>
      <c r="M623" s="19">
        <v>2008</v>
      </c>
      <c r="N623" s="1" t="s">
        <v>434</v>
      </c>
      <c r="O623" s="19">
        <v>3226</v>
      </c>
      <c r="P623" s="1" t="s">
        <v>18</v>
      </c>
      <c r="Q623" s="19">
        <v>3</v>
      </c>
      <c r="R623" s="19">
        <v>2</v>
      </c>
      <c r="S623" s="19">
        <v>33</v>
      </c>
      <c r="T623" s="14">
        <v>164500</v>
      </c>
      <c r="U623" s="14">
        <v>190000</v>
      </c>
      <c r="V623" s="14">
        <v>80000</v>
      </c>
      <c r="W623" s="4">
        <f t="shared" si="27"/>
        <v>0.15501519756838905</v>
      </c>
      <c r="Z623" s="11">
        <f t="shared" si="28"/>
        <v>0.42105263157894735</v>
      </c>
      <c r="AA623" s="19">
        <f t="shared" si="29"/>
        <v>110000</v>
      </c>
    </row>
    <row r="624" spans="2:27" x14ac:dyDescent="0.45">
      <c r="B624" s="7">
        <v>655</v>
      </c>
      <c r="C624" s="1" t="s">
        <v>62</v>
      </c>
      <c r="D624" s="1" t="s">
        <v>626</v>
      </c>
      <c r="E624" s="1" t="s">
        <v>644</v>
      </c>
      <c r="F624" s="1" t="s">
        <v>645</v>
      </c>
      <c r="G624" s="19">
        <v>3</v>
      </c>
      <c r="H624" s="19">
        <v>30</v>
      </c>
      <c r="I624" s="19">
        <v>46</v>
      </c>
      <c r="J624" s="19">
        <v>36</v>
      </c>
      <c r="K624" s="1" t="s">
        <v>66</v>
      </c>
      <c r="L624" s="2" t="s">
        <v>439</v>
      </c>
      <c r="M624" s="19">
        <v>2000</v>
      </c>
      <c r="N624" s="1" t="s">
        <v>434</v>
      </c>
      <c r="O624" s="19">
        <v>1170</v>
      </c>
      <c r="P624" s="1" t="s">
        <v>18</v>
      </c>
      <c r="Q624" s="19">
        <v>2</v>
      </c>
      <c r="R624" s="19">
        <v>1</v>
      </c>
      <c r="S624" s="19">
        <v>25</v>
      </c>
      <c r="T624" s="14">
        <v>140700</v>
      </c>
      <c r="U624" s="14">
        <v>190000</v>
      </c>
      <c r="V624" s="14">
        <v>65000</v>
      </c>
      <c r="W624" s="4">
        <f t="shared" si="27"/>
        <v>0.35039090262970862</v>
      </c>
      <c r="Z624" s="11">
        <f t="shared" si="28"/>
        <v>0.34210526315789475</v>
      </c>
      <c r="AA624" s="19">
        <f t="shared" si="29"/>
        <v>125000</v>
      </c>
    </row>
    <row r="625" spans="2:27" x14ac:dyDescent="0.45">
      <c r="B625" s="7">
        <v>974</v>
      </c>
      <c r="C625" s="1" t="s">
        <v>89</v>
      </c>
      <c r="D625" s="1" t="s">
        <v>816</v>
      </c>
      <c r="E625" s="1" t="s">
        <v>827</v>
      </c>
      <c r="F625" s="1" t="s">
        <v>828</v>
      </c>
      <c r="G625" s="19">
        <v>5</v>
      </c>
      <c r="H625" s="19">
        <v>22</v>
      </c>
      <c r="I625" s="19">
        <v>28</v>
      </c>
      <c r="J625" s="19">
        <v>35</v>
      </c>
      <c r="K625" s="2" t="s">
        <v>355</v>
      </c>
      <c r="L625" s="2" t="s">
        <v>439</v>
      </c>
      <c r="M625" s="19">
        <v>2013</v>
      </c>
      <c r="N625" s="1" t="s">
        <v>447</v>
      </c>
      <c r="O625" s="19">
        <v>680</v>
      </c>
      <c r="P625" s="1" t="s">
        <v>18</v>
      </c>
      <c r="Q625" s="19">
        <v>3</v>
      </c>
      <c r="R625" s="19">
        <v>2</v>
      </c>
      <c r="S625" s="19">
        <v>24</v>
      </c>
      <c r="T625" s="14">
        <v>145000</v>
      </c>
      <c r="U625" s="14">
        <v>190000</v>
      </c>
      <c r="V625" s="14">
        <v>110000</v>
      </c>
      <c r="W625" s="4">
        <f t="shared" si="27"/>
        <v>0.31034482758620691</v>
      </c>
      <c r="Z625" s="11">
        <f t="shared" si="28"/>
        <v>0.57894736842105265</v>
      </c>
      <c r="AA625" s="19">
        <f t="shared" si="29"/>
        <v>80000</v>
      </c>
    </row>
    <row r="626" spans="2:27" x14ac:dyDescent="0.45">
      <c r="B626" s="7">
        <v>983</v>
      </c>
      <c r="C626" s="1" t="s">
        <v>89</v>
      </c>
      <c r="D626" s="1" t="s">
        <v>816</v>
      </c>
      <c r="E626" s="1" t="s">
        <v>831</v>
      </c>
      <c r="F626" s="1" t="s">
        <v>830</v>
      </c>
      <c r="G626" s="19">
        <v>6</v>
      </c>
      <c r="H626" s="19">
        <v>25</v>
      </c>
      <c r="I626" s="19">
        <v>30</v>
      </c>
      <c r="J626" s="19">
        <v>38</v>
      </c>
      <c r="K626" s="2" t="s">
        <v>354</v>
      </c>
      <c r="L626" s="2" t="s">
        <v>453</v>
      </c>
      <c r="M626" s="19">
        <v>2018</v>
      </c>
      <c r="N626" s="1" t="s">
        <v>447</v>
      </c>
      <c r="O626" s="19">
        <v>668</v>
      </c>
      <c r="P626" s="1" t="s">
        <v>18</v>
      </c>
      <c r="Q626" s="19">
        <v>3</v>
      </c>
      <c r="R626" s="19">
        <v>2</v>
      </c>
      <c r="S626" s="19">
        <v>24</v>
      </c>
      <c r="T626" s="14">
        <v>148500</v>
      </c>
      <c r="U626" s="14">
        <v>190000</v>
      </c>
      <c r="V626" s="14">
        <v>89000</v>
      </c>
      <c r="W626" s="4">
        <f t="shared" si="27"/>
        <v>0.27946127946127947</v>
      </c>
      <c r="Z626" s="11">
        <f t="shared" si="28"/>
        <v>0.46842105263157896</v>
      </c>
      <c r="AA626" s="19">
        <f t="shared" si="29"/>
        <v>101000</v>
      </c>
    </row>
    <row r="627" spans="2:27" x14ac:dyDescent="0.45">
      <c r="B627" s="7">
        <v>1468</v>
      </c>
      <c r="C627" s="1" t="s">
        <v>76</v>
      </c>
      <c r="D627" s="1" t="s">
        <v>964</v>
      </c>
      <c r="E627" s="1" t="s">
        <v>967</v>
      </c>
      <c r="F627" s="1" t="s">
        <v>968</v>
      </c>
      <c r="G627" s="19">
        <v>5</v>
      </c>
      <c r="H627" s="19">
        <v>30</v>
      </c>
      <c r="I627" s="19">
        <v>25</v>
      </c>
      <c r="J627" s="19">
        <v>18</v>
      </c>
      <c r="K627" s="1" t="s">
        <v>969</v>
      </c>
      <c r="L627" s="2" t="s">
        <v>439</v>
      </c>
      <c r="M627" s="19">
        <v>2000</v>
      </c>
      <c r="N627" s="1" t="s">
        <v>434</v>
      </c>
      <c r="O627" s="19">
        <v>2123</v>
      </c>
      <c r="P627" s="1" t="s">
        <v>18</v>
      </c>
      <c r="Q627" s="19">
        <v>3</v>
      </c>
      <c r="R627" s="19">
        <v>2</v>
      </c>
      <c r="S627" s="19">
        <v>33</v>
      </c>
      <c r="T627" s="14">
        <v>147000</v>
      </c>
      <c r="U627" s="14">
        <v>190000</v>
      </c>
      <c r="V627" s="14">
        <v>73000</v>
      </c>
      <c r="W627" s="4">
        <f t="shared" si="27"/>
        <v>0.29251700680272108</v>
      </c>
      <c r="Z627" s="11">
        <f t="shared" si="28"/>
        <v>0.38421052631578945</v>
      </c>
      <c r="AA627" s="19">
        <f t="shared" si="29"/>
        <v>117000</v>
      </c>
    </row>
    <row r="628" spans="2:27" x14ac:dyDescent="0.45">
      <c r="B628" s="7">
        <v>1498</v>
      </c>
      <c r="C628" s="1" t="s">
        <v>76</v>
      </c>
      <c r="D628" s="1" t="s">
        <v>964</v>
      </c>
      <c r="E628" s="1" t="s">
        <v>976</v>
      </c>
      <c r="F628" s="1" t="s">
        <v>975</v>
      </c>
      <c r="G628" s="19">
        <v>10</v>
      </c>
      <c r="H628" s="19">
        <v>35</v>
      </c>
      <c r="I628" s="19">
        <v>30</v>
      </c>
      <c r="J628" s="19">
        <v>20</v>
      </c>
      <c r="K628" s="1" t="s">
        <v>335</v>
      </c>
      <c r="L628" s="2" t="s">
        <v>453</v>
      </c>
      <c r="M628" s="19">
        <v>2017</v>
      </c>
      <c r="N628" s="1" t="s">
        <v>447</v>
      </c>
      <c r="O628" s="19">
        <v>713</v>
      </c>
      <c r="P628" s="1" t="s">
        <v>18</v>
      </c>
      <c r="Q628" s="19">
        <v>3</v>
      </c>
      <c r="R628" s="19">
        <v>2</v>
      </c>
      <c r="S628" s="19">
        <v>33</v>
      </c>
      <c r="T628" s="14">
        <v>160000</v>
      </c>
      <c r="U628" s="14">
        <v>190000</v>
      </c>
      <c r="V628" s="14">
        <v>85000</v>
      </c>
      <c r="W628" s="4">
        <f t="shared" si="27"/>
        <v>0.1875</v>
      </c>
      <c r="Z628" s="11">
        <f t="shared" si="28"/>
        <v>0.44736842105263158</v>
      </c>
      <c r="AA628" s="19">
        <f t="shared" si="29"/>
        <v>105000</v>
      </c>
    </row>
    <row r="629" spans="2:27" x14ac:dyDescent="0.45">
      <c r="B629" s="7">
        <v>1764</v>
      </c>
      <c r="C629" s="1" t="s">
        <v>24</v>
      </c>
      <c r="D629" s="1" t="s">
        <v>1032</v>
      </c>
      <c r="E629" s="1" t="s">
        <v>1045</v>
      </c>
      <c r="F629" s="1" t="s">
        <v>1046</v>
      </c>
      <c r="G629" s="19">
        <v>5</v>
      </c>
      <c r="H629" s="19">
        <v>15</v>
      </c>
      <c r="I629" s="19">
        <v>32</v>
      </c>
      <c r="J629" s="19">
        <v>40</v>
      </c>
      <c r="K629" s="2" t="s">
        <v>368</v>
      </c>
      <c r="L629" s="2" t="s">
        <v>433</v>
      </c>
      <c r="M629" s="19">
        <v>1990</v>
      </c>
      <c r="N629" s="1" t="s">
        <v>440</v>
      </c>
      <c r="O629" s="19">
        <v>336</v>
      </c>
      <c r="P629" s="1" t="s">
        <v>18</v>
      </c>
      <c r="Q629" s="19">
        <v>3</v>
      </c>
      <c r="R629" s="19">
        <v>2</v>
      </c>
      <c r="S629" s="19">
        <v>31</v>
      </c>
      <c r="T629" s="14">
        <v>159500</v>
      </c>
      <c r="U629" s="14">
        <v>190000</v>
      </c>
      <c r="V629" s="14">
        <v>80000</v>
      </c>
      <c r="W629" s="4">
        <f t="shared" si="27"/>
        <v>0.19122257053291536</v>
      </c>
      <c r="Z629" s="11">
        <f t="shared" si="28"/>
        <v>0.42105263157894735</v>
      </c>
      <c r="AA629" s="19">
        <f t="shared" si="29"/>
        <v>110000</v>
      </c>
    </row>
    <row r="630" spans="2:27" x14ac:dyDescent="0.45">
      <c r="B630" s="7">
        <v>1937</v>
      </c>
      <c r="C630" s="1" t="s">
        <v>185</v>
      </c>
      <c r="D630" s="1" t="s">
        <v>1077</v>
      </c>
      <c r="E630" s="1" t="s">
        <v>1095</v>
      </c>
      <c r="F630" s="1" t="s">
        <v>1096</v>
      </c>
      <c r="G630" s="19">
        <v>5</v>
      </c>
      <c r="H630" s="19">
        <v>42</v>
      </c>
      <c r="I630" s="19">
        <v>22</v>
      </c>
      <c r="J630" s="19">
        <v>32</v>
      </c>
      <c r="K630" s="1" t="s">
        <v>193</v>
      </c>
      <c r="L630" s="2" t="s">
        <v>453</v>
      </c>
      <c r="M630" s="19">
        <v>2016</v>
      </c>
      <c r="N630" s="1" t="s">
        <v>434</v>
      </c>
      <c r="O630" s="19">
        <v>1081</v>
      </c>
      <c r="P630" s="1" t="s">
        <v>18</v>
      </c>
      <c r="Q630" s="19">
        <v>3</v>
      </c>
      <c r="R630" s="19">
        <v>2</v>
      </c>
      <c r="S630" s="19">
        <v>25</v>
      </c>
      <c r="T630" s="14">
        <v>150000</v>
      </c>
      <c r="U630" s="14">
        <v>190000</v>
      </c>
      <c r="V630" s="14">
        <v>85000</v>
      </c>
      <c r="W630" s="4">
        <f t="shared" si="27"/>
        <v>0.26666666666666666</v>
      </c>
      <c r="Z630" s="11">
        <f t="shared" si="28"/>
        <v>0.44736842105263158</v>
      </c>
      <c r="AA630" s="19">
        <f t="shared" si="29"/>
        <v>105000</v>
      </c>
    </row>
    <row r="631" spans="2:27" x14ac:dyDescent="0.45">
      <c r="B631" s="7">
        <v>1942</v>
      </c>
      <c r="C631" s="1" t="s">
        <v>143</v>
      </c>
      <c r="D631" s="1" t="s">
        <v>1077</v>
      </c>
      <c r="E631" s="1" t="s">
        <v>1099</v>
      </c>
      <c r="F631" s="1" t="s">
        <v>1093</v>
      </c>
      <c r="G631" s="19">
        <v>6</v>
      </c>
      <c r="H631" s="19">
        <v>48</v>
      </c>
      <c r="I631" s="19">
        <v>25</v>
      </c>
      <c r="J631" s="19">
        <v>35</v>
      </c>
      <c r="K631" s="1" t="s">
        <v>190</v>
      </c>
      <c r="L631" s="2" t="s">
        <v>453</v>
      </c>
      <c r="M631" s="19">
        <v>2019</v>
      </c>
      <c r="N631" s="1" t="s">
        <v>440</v>
      </c>
      <c r="O631" s="19">
        <v>356</v>
      </c>
      <c r="P631" s="1" t="s">
        <v>18</v>
      </c>
      <c r="Q631" s="19">
        <v>3</v>
      </c>
      <c r="R631" s="19">
        <v>2</v>
      </c>
      <c r="S631" s="19">
        <v>33</v>
      </c>
      <c r="T631" s="14">
        <v>160000</v>
      </c>
      <c r="U631" s="14">
        <v>190000</v>
      </c>
      <c r="V631" s="14">
        <v>95000</v>
      </c>
      <c r="W631" s="4">
        <f t="shared" si="27"/>
        <v>0.1875</v>
      </c>
      <c r="Z631" s="11">
        <f t="shared" si="28"/>
        <v>0.5</v>
      </c>
      <c r="AA631" s="19">
        <f t="shared" si="29"/>
        <v>95000</v>
      </c>
    </row>
    <row r="632" spans="2:27" x14ac:dyDescent="0.45">
      <c r="B632" s="7">
        <v>2001</v>
      </c>
      <c r="C632" s="1" t="s">
        <v>11</v>
      </c>
      <c r="D632" s="1" t="s">
        <v>1107</v>
      </c>
      <c r="E632" s="1" t="s">
        <v>1120</v>
      </c>
      <c r="F632" s="1" t="s">
        <v>1119</v>
      </c>
      <c r="G632" s="19">
        <v>4</v>
      </c>
      <c r="H632" s="19">
        <v>35</v>
      </c>
      <c r="I632" s="19">
        <v>15</v>
      </c>
      <c r="J632" s="19">
        <v>25</v>
      </c>
      <c r="K632" s="1" t="s">
        <v>291</v>
      </c>
      <c r="L632" s="2" t="s">
        <v>453</v>
      </c>
      <c r="M632" s="19">
        <v>2021</v>
      </c>
      <c r="N632" s="1" t="s">
        <v>434</v>
      </c>
      <c r="O632" s="19">
        <v>1008</v>
      </c>
      <c r="P632" s="1" t="s">
        <v>18</v>
      </c>
      <c r="Q632" s="19">
        <v>3</v>
      </c>
      <c r="R632" s="19">
        <v>2</v>
      </c>
      <c r="S632" s="19">
        <v>33</v>
      </c>
      <c r="T632" s="14">
        <v>168000</v>
      </c>
      <c r="U632" s="14">
        <v>193000</v>
      </c>
      <c r="V632" s="14">
        <v>83000</v>
      </c>
      <c r="W632" s="4">
        <f t="shared" si="27"/>
        <v>0.14880952380952381</v>
      </c>
      <c r="Z632" s="11">
        <f t="shared" si="28"/>
        <v>0.43005181347150256</v>
      </c>
      <c r="AA632" s="19">
        <f t="shared" si="29"/>
        <v>110000</v>
      </c>
    </row>
    <row r="633" spans="2:27" x14ac:dyDescent="0.45">
      <c r="B633" s="7">
        <v>2022</v>
      </c>
      <c r="C633" s="1" t="s">
        <v>98</v>
      </c>
      <c r="D633" s="1" t="s">
        <v>1107</v>
      </c>
      <c r="E633" s="1" t="s">
        <v>1108</v>
      </c>
      <c r="F633" s="1" t="s">
        <v>832</v>
      </c>
      <c r="G633" s="19" t="s">
        <v>1249</v>
      </c>
      <c r="H633" s="19">
        <v>32</v>
      </c>
      <c r="I633" s="19">
        <v>12</v>
      </c>
      <c r="J633" s="19">
        <v>25</v>
      </c>
      <c r="K633" s="1" t="s">
        <v>154</v>
      </c>
      <c r="L633" s="2" t="s">
        <v>453</v>
      </c>
      <c r="M633" s="19">
        <v>2017</v>
      </c>
      <c r="N633" s="1" t="s">
        <v>434</v>
      </c>
      <c r="O633" s="19">
        <v>1722</v>
      </c>
      <c r="P633" s="1" t="s">
        <v>18</v>
      </c>
      <c r="Q633" s="19">
        <v>3</v>
      </c>
      <c r="R633" s="19">
        <v>2</v>
      </c>
      <c r="S633" s="19">
        <v>33</v>
      </c>
      <c r="T633" s="14">
        <v>178500</v>
      </c>
      <c r="U633" s="14">
        <v>193000</v>
      </c>
      <c r="V633" s="14">
        <v>90000</v>
      </c>
      <c r="W633" s="4">
        <f t="shared" si="27"/>
        <v>8.1232492997198882E-2</v>
      </c>
      <c r="Z633" s="11">
        <f t="shared" si="28"/>
        <v>0.46632124352331605</v>
      </c>
      <c r="AA633" s="19">
        <f t="shared" si="29"/>
        <v>103000</v>
      </c>
    </row>
    <row r="634" spans="2:27" x14ac:dyDescent="0.45">
      <c r="B634" s="7">
        <v>1231</v>
      </c>
      <c r="C634" s="1" t="s">
        <v>10</v>
      </c>
      <c r="D634" s="1" t="s">
        <v>866</v>
      </c>
      <c r="E634" s="1" t="s">
        <v>898</v>
      </c>
      <c r="F634" s="1" t="s">
        <v>878</v>
      </c>
      <c r="G634" s="19">
        <v>8</v>
      </c>
      <c r="H634" s="19">
        <v>38</v>
      </c>
      <c r="I634" s="19">
        <v>18</v>
      </c>
      <c r="J634" s="19">
        <v>18</v>
      </c>
      <c r="K634" s="1" t="s">
        <v>54</v>
      </c>
      <c r="L634" s="2" t="s">
        <v>439</v>
      </c>
      <c r="M634" s="19">
        <v>2011</v>
      </c>
      <c r="N634" s="1" t="s">
        <v>447</v>
      </c>
      <c r="O634" s="19">
        <v>794</v>
      </c>
      <c r="P634" s="1" t="s">
        <v>18</v>
      </c>
      <c r="Q634" s="19">
        <v>3</v>
      </c>
      <c r="R634" s="19">
        <v>2</v>
      </c>
      <c r="S634" s="19">
        <v>25</v>
      </c>
      <c r="T634" s="14">
        <v>149000</v>
      </c>
      <c r="U634" s="14">
        <v>194000</v>
      </c>
      <c r="V634" s="14">
        <v>79000</v>
      </c>
      <c r="W634" s="4">
        <f t="shared" si="27"/>
        <v>0.30201342281879195</v>
      </c>
      <c r="Z634" s="11">
        <f t="shared" si="28"/>
        <v>0.40721649484536082</v>
      </c>
      <c r="AA634" s="19">
        <f t="shared" si="29"/>
        <v>115000</v>
      </c>
    </row>
    <row r="635" spans="2:27" x14ac:dyDescent="0.45">
      <c r="B635" s="7">
        <v>1551</v>
      </c>
      <c r="C635" s="1" t="s">
        <v>8</v>
      </c>
      <c r="D635" s="1" t="s">
        <v>964</v>
      </c>
      <c r="E635" s="1" t="s">
        <v>986</v>
      </c>
      <c r="F635" s="1" t="s">
        <v>987</v>
      </c>
      <c r="G635" s="19">
        <v>5</v>
      </c>
      <c r="H635" s="19">
        <v>32</v>
      </c>
      <c r="I635" s="19">
        <v>28</v>
      </c>
      <c r="J635" s="19">
        <v>22</v>
      </c>
      <c r="K635" s="1" t="s">
        <v>163</v>
      </c>
      <c r="L635" s="2" t="s">
        <v>439</v>
      </c>
      <c r="M635" s="19">
        <v>2012</v>
      </c>
      <c r="N635" s="1" t="s">
        <v>447</v>
      </c>
      <c r="O635" s="19">
        <v>847</v>
      </c>
      <c r="P635" s="1" t="s">
        <v>18</v>
      </c>
      <c r="Q635" s="19">
        <v>3</v>
      </c>
      <c r="R635" s="19">
        <v>2</v>
      </c>
      <c r="S635" s="19">
        <v>25</v>
      </c>
      <c r="T635" s="14">
        <v>152000</v>
      </c>
      <c r="U635" s="14">
        <v>194000</v>
      </c>
      <c r="V635" s="14">
        <v>73000</v>
      </c>
      <c r="W635" s="4">
        <f t="shared" si="27"/>
        <v>0.27631578947368424</v>
      </c>
      <c r="Z635" s="11">
        <f t="shared" si="28"/>
        <v>0.37628865979381443</v>
      </c>
      <c r="AA635" s="19">
        <f t="shared" si="29"/>
        <v>121000</v>
      </c>
    </row>
    <row r="636" spans="2:27" x14ac:dyDescent="0.45">
      <c r="B636" s="7">
        <v>230</v>
      </c>
      <c r="C636" s="1" t="s">
        <v>510</v>
      </c>
      <c r="D636" s="1" t="s">
        <v>508</v>
      </c>
      <c r="E636" s="1" t="s">
        <v>519</v>
      </c>
      <c r="F636" s="1" t="s">
        <v>520</v>
      </c>
      <c r="G636" s="19">
        <v>4</v>
      </c>
      <c r="H636" s="19">
        <v>48</v>
      </c>
      <c r="I636" s="19">
        <v>52</v>
      </c>
      <c r="J636" s="19">
        <v>46</v>
      </c>
      <c r="K636" s="1" t="s">
        <v>241</v>
      </c>
      <c r="L636" s="2" t="s">
        <v>433</v>
      </c>
      <c r="M636" s="19">
        <v>1983</v>
      </c>
      <c r="N636" s="1" t="s">
        <v>434</v>
      </c>
      <c r="O636" s="19">
        <v>2400</v>
      </c>
      <c r="P636" s="1" t="s">
        <v>5</v>
      </c>
      <c r="Q636" s="19">
        <v>3</v>
      </c>
      <c r="R636" s="19">
        <v>1</v>
      </c>
      <c r="S636" s="19">
        <v>27</v>
      </c>
      <c r="T636" s="14">
        <v>149000</v>
      </c>
      <c r="U636" s="14">
        <v>195000</v>
      </c>
      <c r="V636" s="14">
        <v>45000</v>
      </c>
      <c r="W636" s="4">
        <f t="shared" si="27"/>
        <v>0.3087248322147651</v>
      </c>
      <c r="Z636" s="11">
        <f t="shared" si="28"/>
        <v>0.23076923076923078</v>
      </c>
      <c r="AA636" s="19">
        <f t="shared" si="29"/>
        <v>150000</v>
      </c>
    </row>
    <row r="637" spans="2:27" x14ac:dyDescent="0.45">
      <c r="B637" s="7">
        <v>624</v>
      </c>
      <c r="C637" s="1" t="s">
        <v>72</v>
      </c>
      <c r="D637" s="1" t="s">
        <v>626</v>
      </c>
      <c r="E637" s="1" t="s">
        <v>633</v>
      </c>
      <c r="F637" s="1" t="s">
        <v>630</v>
      </c>
      <c r="G637" s="19">
        <v>5</v>
      </c>
      <c r="H637" s="19">
        <v>28</v>
      </c>
      <c r="I637" s="19">
        <v>45</v>
      </c>
      <c r="J637" s="19">
        <v>40</v>
      </c>
      <c r="K637" s="1" t="s">
        <v>364</v>
      </c>
      <c r="L637" s="2" t="s">
        <v>439</v>
      </c>
      <c r="M637" s="19">
        <v>2001</v>
      </c>
      <c r="N637" s="1" t="s">
        <v>440</v>
      </c>
      <c r="O637" s="19">
        <v>252</v>
      </c>
      <c r="P637" s="1" t="s">
        <v>18</v>
      </c>
      <c r="Q637" s="19">
        <v>3</v>
      </c>
      <c r="R637" s="19">
        <v>1</v>
      </c>
      <c r="S637" s="19">
        <v>33</v>
      </c>
      <c r="T637" s="14">
        <v>157000</v>
      </c>
      <c r="U637" s="14">
        <v>195000</v>
      </c>
      <c r="V637" s="14">
        <v>80000</v>
      </c>
      <c r="W637" s="4">
        <f t="shared" si="27"/>
        <v>0.24203821656050956</v>
      </c>
      <c r="Z637" s="11">
        <f t="shared" si="28"/>
        <v>0.41025641025641024</v>
      </c>
      <c r="AA637" s="19">
        <f t="shared" si="29"/>
        <v>115000</v>
      </c>
    </row>
    <row r="638" spans="2:27" x14ac:dyDescent="0.45">
      <c r="B638" s="7">
        <v>1875</v>
      </c>
      <c r="C638" s="1" t="s">
        <v>24</v>
      </c>
      <c r="D638" s="1" t="s">
        <v>1032</v>
      </c>
      <c r="E638" s="1" t="s">
        <v>1074</v>
      </c>
      <c r="F638" s="1" t="s">
        <v>1075</v>
      </c>
      <c r="G638" s="19">
        <v>5</v>
      </c>
      <c r="H638" s="19">
        <v>28</v>
      </c>
      <c r="I638" s="19">
        <v>45</v>
      </c>
      <c r="J638" s="19">
        <v>48</v>
      </c>
      <c r="K638" s="2" t="s">
        <v>25</v>
      </c>
      <c r="L638" s="2" t="s">
        <v>433</v>
      </c>
      <c r="M638" s="19">
        <v>1997</v>
      </c>
      <c r="N638" s="1" t="s">
        <v>434</v>
      </c>
      <c r="O638" s="19">
        <v>2064</v>
      </c>
      <c r="P638" s="1" t="s">
        <v>18</v>
      </c>
      <c r="Q638" s="19">
        <v>3</v>
      </c>
      <c r="R638" s="19">
        <v>1</v>
      </c>
      <c r="S638" s="19">
        <v>24</v>
      </c>
      <c r="T638" s="14">
        <v>147000</v>
      </c>
      <c r="U638" s="14">
        <v>195000</v>
      </c>
      <c r="V638" s="14">
        <v>70000</v>
      </c>
      <c r="W638" s="4">
        <f t="shared" si="27"/>
        <v>0.32653061224489793</v>
      </c>
      <c r="Z638" s="11">
        <f t="shared" si="28"/>
        <v>0.35897435897435898</v>
      </c>
      <c r="AA638" s="19">
        <f t="shared" si="29"/>
        <v>125000</v>
      </c>
    </row>
    <row r="639" spans="2:27" x14ac:dyDescent="0.45">
      <c r="B639" s="7">
        <v>665</v>
      </c>
      <c r="C639" s="1" t="s">
        <v>62</v>
      </c>
      <c r="D639" s="1" t="s">
        <v>626</v>
      </c>
      <c r="E639" s="1" t="s">
        <v>649</v>
      </c>
      <c r="F639" s="1" t="s">
        <v>641</v>
      </c>
      <c r="G639" s="19">
        <v>4</v>
      </c>
      <c r="H639" s="19">
        <v>32</v>
      </c>
      <c r="I639" s="19">
        <v>48</v>
      </c>
      <c r="J639" s="19">
        <v>37</v>
      </c>
      <c r="K639" s="1" t="s">
        <v>64</v>
      </c>
      <c r="L639" s="2" t="s">
        <v>433</v>
      </c>
      <c r="M639" s="19">
        <v>1996</v>
      </c>
      <c r="N639" s="1" t="s">
        <v>447</v>
      </c>
      <c r="O639" s="19">
        <v>654</v>
      </c>
      <c r="P639" s="1" t="s">
        <v>18</v>
      </c>
      <c r="Q639" s="19">
        <v>3</v>
      </c>
      <c r="R639" s="19">
        <v>2</v>
      </c>
      <c r="S639" s="19">
        <v>33</v>
      </c>
      <c r="T639" s="14">
        <v>155000</v>
      </c>
      <c r="U639" s="14">
        <v>198000</v>
      </c>
      <c r="V639" s="14">
        <v>90000</v>
      </c>
      <c r="W639" s="4">
        <f t="shared" si="27"/>
        <v>0.27741935483870966</v>
      </c>
      <c r="Z639" s="11">
        <f t="shared" si="28"/>
        <v>0.45454545454545453</v>
      </c>
      <c r="AA639" s="19">
        <f t="shared" si="29"/>
        <v>108000</v>
      </c>
    </row>
    <row r="640" spans="2:27" x14ac:dyDescent="0.45">
      <c r="B640" s="7">
        <v>1817</v>
      </c>
      <c r="C640" s="1" t="s">
        <v>1037</v>
      </c>
      <c r="D640" s="1" t="s">
        <v>1032</v>
      </c>
      <c r="E640" s="1" t="s">
        <v>1062</v>
      </c>
      <c r="F640" s="1" t="s">
        <v>1061</v>
      </c>
      <c r="G640" s="19">
        <v>7</v>
      </c>
      <c r="H640" s="19">
        <v>32</v>
      </c>
      <c r="I640" s="19">
        <v>50</v>
      </c>
      <c r="J640" s="19">
        <v>52</v>
      </c>
      <c r="K640" s="2" t="s">
        <v>277</v>
      </c>
      <c r="L640" s="2" t="s">
        <v>439</v>
      </c>
      <c r="M640" s="19">
        <v>2008</v>
      </c>
      <c r="N640" s="1" t="s">
        <v>447</v>
      </c>
      <c r="O640" s="19">
        <v>564</v>
      </c>
      <c r="P640" s="1" t="s">
        <v>18</v>
      </c>
      <c r="Q640" s="19">
        <v>3</v>
      </c>
      <c r="R640" s="19">
        <v>2</v>
      </c>
      <c r="S640" s="19">
        <v>32</v>
      </c>
      <c r="T640" s="14">
        <v>150000</v>
      </c>
      <c r="U640" s="14">
        <v>199500</v>
      </c>
      <c r="V640" s="14">
        <v>80000</v>
      </c>
      <c r="W640" s="4">
        <f t="shared" si="27"/>
        <v>0.33</v>
      </c>
      <c r="Z640" s="11">
        <f t="shared" si="28"/>
        <v>0.40100250626566414</v>
      </c>
      <c r="AA640" s="19">
        <f t="shared" si="29"/>
        <v>119500</v>
      </c>
    </row>
    <row r="641" spans="2:27" x14ac:dyDescent="0.45">
      <c r="B641" s="7">
        <v>2280</v>
      </c>
      <c r="C641" s="1" t="s">
        <v>84</v>
      </c>
      <c r="D641" s="1" t="s">
        <v>1194</v>
      </c>
      <c r="E641" s="1" t="s">
        <v>1195</v>
      </c>
      <c r="F641" s="1" t="s">
        <v>1196</v>
      </c>
      <c r="G641" s="19">
        <v>3</v>
      </c>
      <c r="H641" s="19">
        <v>35</v>
      </c>
      <c r="I641" s="19">
        <v>35</v>
      </c>
      <c r="J641" s="19">
        <v>15</v>
      </c>
      <c r="K641" s="1" t="s">
        <v>404</v>
      </c>
      <c r="L641" s="2" t="s">
        <v>439</v>
      </c>
      <c r="M641" s="19">
        <v>2011</v>
      </c>
      <c r="N641" s="1" t="s">
        <v>447</v>
      </c>
      <c r="O641" s="19">
        <v>895</v>
      </c>
      <c r="P641" s="1" t="s">
        <v>18</v>
      </c>
      <c r="Q641" s="19">
        <v>3</v>
      </c>
      <c r="R641" s="19">
        <v>2</v>
      </c>
      <c r="S641" s="19">
        <v>33</v>
      </c>
      <c r="T641" s="14">
        <v>159000</v>
      </c>
      <c r="U641" s="14">
        <v>199500</v>
      </c>
      <c r="V641" s="14">
        <v>84000</v>
      </c>
      <c r="W641" s="4">
        <f t="shared" si="27"/>
        <v>0.25471698113207547</v>
      </c>
      <c r="Z641" s="11">
        <f t="shared" si="28"/>
        <v>0.42105263157894735</v>
      </c>
      <c r="AA641" s="19">
        <f t="shared" si="29"/>
        <v>115500</v>
      </c>
    </row>
    <row r="642" spans="2:27" x14ac:dyDescent="0.45">
      <c r="B642" s="7">
        <v>59</v>
      </c>
      <c r="C642" s="1" t="s">
        <v>465</v>
      </c>
      <c r="D642" s="1" t="s">
        <v>436</v>
      </c>
      <c r="E642" s="1" t="s">
        <v>462</v>
      </c>
      <c r="F642" s="1" t="s">
        <v>443</v>
      </c>
      <c r="G642" s="19">
        <v>8</v>
      </c>
      <c r="H642" s="19">
        <v>15</v>
      </c>
      <c r="I642" s="19">
        <v>32</v>
      </c>
      <c r="J642" s="19">
        <v>38</v>
      </c>
      <c r="K642" s="2" t="s">
        <v>463</v>
      </c>
      <c r="L642" s="2" t="s">
        <v>464</v>
      </c>
      <c r="M642" s="19">
        <v>2008</v>
      </c>
      <c r="N642" s="1" t="s">
        <v>461</v>
      </c>
      <c r="O642" s="19">
        <v>926</v>
      </c>
      <c r="P642" s="1" t="s">
        <v>18</v>
      </c>
      <c r="Q642" s="19">
        <v>1</v>
      </c>
      <c r="R642" s="22">
        <v>1</v>
      </c>
      <c r="S642" s="19">
        <v>15</v>
      </c>
      <c r="T642" s="15">
        <v>155000</v>
      </c>
      <c r="U642" s="14">
        <v>200000</v>
      </c>
      <c r="V642" s="14">
        <v>63000</v>
      </c>
      <c r="W642" s="4">
        <f t="shared" si="27"/>
        <v>0.29032258064516131</v>
      </c>
      <c r="Z642" s="11">
        <f t="shared" si="28"/>
        <v>0.315</v>
      </c>
      <c r="AA642" s="19">
        <f t="shared" si="29"/>
        <v>137000</v>
      </c>
    </row>
    <row r="643" spans="2:27" x14ac:dyDescent="0.45">
      <c r="B643" s="7">
        <v>201</v>
      </c>
      <c r="C643" s="1" t="s">
        <v>442</v>
      </c>
      <c r="D643" s="1" t="s">
        <v>436</v>
      </c>
      <c r="E643" s="1" t="s">
        <v>503</v>
      </c>
      <c r="F643" s="1" t="s">
        <v>476</v>
      </c>
      <c r="G643" s="19">
        <v>5</v>
      </c>
      <c r="H643" s="19">
        <v>34</v>
      </c>
      <c r="I643" s="19">
        <v>59</v>
      </c>
      <c r="J643" s="19">
        <v>67</v>
      </c>
      <c r="K643" s="2" t="s">
        <v>504</v>
      </c>
      <c r="L643" s="2" t="s">
        <v>439</v>
      </c>
      <c r="M643" s="19">
        <v>2014</v>
      </c>
      <c r="N643" s="1" t="s">
        <v>447</v>
      </c>
      <c r="O643" s="19">
        <v>716</v>
      </c>
      <c r="P643" s="1" t="s">
        <v>18</v>
      </c>
      <c r="Q643" s="19">
        <v>3</v>
      </c>
      <c r="R643" s="19">
        <v>2</v>
      </c>
      <c r="S643" s="19">
        <v>24</v>
      </c>
      <c r="T643" s="14">
        <v>150000</v>
      </c>
      <c r="U643" s="14">
        <v>200000</v>
      </c>
      <c r="V643" s="14">
        <v>70000</v>
      </c>
      <c r="W643" s="4">
        <f t="shared" si="27"/>
        <v>0.33333333333333331</v>
      </c>
      <c r="Z643" s="11">
        <f t="shared" si="28"/>
        <v>0.35</v>
      </c>
      <c r="AA643" s="19">
        <f t="shared" si="29"/>
        <v>130000</v>
      </c>
    </row>
    <row r="644" spans="2:27" x14ac:dyDescent="0.45">
      <c r="B644" s="7">
        <v>204</v>
      </c>
      <c r="C644" s="1" t="s">
        <v>442</v>
      </c>
      <c r="D644" s="1" t="s">
        <v>436</v>
      </c>
      <c r="E644" s="1" t="s">
        <v>505</v>
      </c>
      <c r="F644" s="1" t="s">
        <v>506</v>
      </c>
      <c r="G644" s="19">
        <v>5</v>
      </c>
      <c r="H644" s="19">
        <v>40</v>
      </c>
      <c r="I644" s="19">
        <v>65</v>
      </c>
      <c r="J644" s="19">
        <v>72</v>
      </c>
      <c r="K644" s="2" t="s">
        <v>507</v>
      </c>
      <c r="L644" s="2" t="s">
        <v>439</v>
      </c>
      <c r="M644" s="19">
        <v>2012</v>
      </c>
      <c r="N644" s="1" t="s">
        <v>447</v>
      </c>
      <c r="O644" s="19">
        <v>912</v>
      </c>
      <c r="P644" s="1" t="s">
        <v>18</v>
      </c>
      <c r="Q644" s="19">
        <v>3</v>
      </c>
      <c r="R644" s="19">
        <v>2</v>
      </c>
      <c r="S644" s="19">
        <v>33</v>
      </c>
      <c r="T644" s="14">
        <v>175000</v>
      </c>
      <c r="U644" s="14">
        <v>200000</v>
      </c>
      <c r="V644" s="14">
        <v>82000</v>
      </c>
      <c r="W644" s="4">
        <f t="shared" si="27"/>
        <v>0.14285714285714285</v>
      </c>
      <c r="Z644" s="11">
        <f t="shared" si="28"/>
        <v>0.41</v>
      </c>
      <c r="AA644" s="19">
        <f t="shared" si="29"/>
        <v>118000</v>
      </c>
    </row>
    <row r="645" spans="2:27" x14ac:dyDescent="0.45">
      <c r="B645" s="7">
        <v>277</v>
      </c>
      <c r="C645" s="1" t="s">
        <v>48</v>
      </c>
      <c r="D645" s="1" t="s">
        <v>508</v>
      </c>
      <c r="E645" s="1" t="s">
        <v>534</v>
      </c>
      <c r="F645" s="1" t="s">
        <v>535</v>
      </c>
      <c r="G645" s="19">
        <v>5</v>
      </c>
      <c r="H645" s="19">
        <v>52</v>
      </c>
      <c r="I645" s="19">
        <v>56</v>
      </c>
      <c r="J645" s="19">
        <v>50</v>
      </c>
      <c r="K645" s="1" t="s">
        <v>536</v>
      </c>
      <c r="L645" s="2" t="s">
        <v>453</v>
      </c>
      <c r="M645" s="19">
        <v>2016</v>
      </c>
      <c r="N645" s="1" t="s">
        <v>434</v>
      </c>
      <c r="O645" s="19">
        <v>3658</v>
      </c>
      <c r="P645" s="1" t="s">
        <v>18</v>
      </c>
      <c r="Q645" s="19">
        <v>3</v>
      </c>
      <c r="R645" s="19">
        <v>2</v>
      </c>
      <c r="S645" s="19">
        <v>28</v>
      </c>
      <c r="T645" s="14">
        <v>153800</v>
      </c>
      <c r="U645" s="14">
        <v>200000</v>
      </c>
      <c r="V645" s="14">
        <v>85000</v>
      </c>
      <c r="W645" s="4">
        <f t="shared" si="27"/>
        <v>0.30039011703511054</v>
      </c>
      <c r="Z645" s="11">
        <f t="shared" si="28"/>
        <v>0.42499999999999999</v>
      </c>
      <c r="AA645" s="19">
        <f t="shared" si="29"/>
        <v>115000</v>
      </c>
    </row>
    <row r="646" spans="2:27" x14ac:dyDescent="0.45">
      <c r="B646" s="7">
        <v>1152</v>
      </c>
      <c r="C646" s="1" t="s">
        <v>31</v>
      </c>
      <c r="D646" s="1" t="s">
        <v>866</v>
      </c>
      <c r="E646" s="1" t="s">
        <v>880</v>
      </c>
      <c r="F646" s="1" t="s">
        <v>878</v>
      </c>
      <c r="G646" s="19">
        <v>8</v>
      </c>
      <c r="H646" s="19">
        <v>38</v>
      </c>
      <c r="I646" s="19">
        <v>15</v>
      </c>
      <c r="J646" s="19">
        <v>15</v>
      </c>
      <c r="K646" s="1" t="s">
        <v>289</v>
      </c>
      <c r="L646" s="2" t="s">
        <v>439</v>
      </c>
      <c r="M646" s="19">
        <v>2000</v>
      </c>
      <c r="N646" s="1" t="s">
        <v>447</v>
      </c>
      <c r="O646" s="19">
        <v>834</v>
      </c>
      <c r="P646" s="1" t="s">
        <v>18</v>
      </c>
      <c r="Q646" s="19">
        <v>3</v>
      </c>
      <c r="R646" s="19">
        <v>2</v>
      </c>
      <c r="S646" s="19">
        <v>33</v>
      </c>
      <c r="T646" s="14">
        <v>158000</v>
      </c>
      <c r="U646" s="14">
        <v>200000</v>
      </c>
      <c r="V646" s="14">
        <v>75000</v>
      </c>
      <c r="W646" s="4">
        <f t="shared" ref="W646:W709" si="30">(U646-$T646)/$T646</f>
        <v>0.26582278481012656</v>
      </c>
      <c r="Z646" s="11">
        <f t="shared" ref="Z646:Z709" si="31">V646/U646</f>
        <v>0.375</v>
      </c>
      <c r="AA646" s="19">
        <f t="shared" ref="AA646:AA709" si="32">U646-V646</f>
        <v>125000</v>
      </c>
    </row>
    <row r="647" spans="2:27" x14ac:dyDescent="0.45">
      <c r="B647" s="7">
        <v>1195</v>
      </c>
      <c r="C647" s="1" t="s">
        <v>869</v>
      </c>
      <c r="D647" s="1" t="s">
        <v>866</v>
      </c>
      <c r="E647" s="1" t="s">
        <v>890</v>
      </c>
      <c r="F647" s="1" t="s">
        <v>889</v>
      </c>
      <c r="G647" s="19">
        <v>5</v>
      </c>
      <c r="H647" s="19">
        <v>38</v>
      </c>
      <c r="I647" s="19">
        <v>15</v>
      </c>
      <c r="J647" s="19">
        <v>20</v>
      </c>
      <c r="K647" s="1" t="s">
        <v>174</v>
      </c>
      <c r="L647" s="2" t="s">
        <v>433</v>
      </c>
      <c r="M647" s="19">
        <v>1997</v>
      </c>
      <c r="N647" s="1" t="s">
        <v>447</v>
      </c>
      <c r="O647" s="19">
        <v>982</v>
      </c>
      <c r="P647" s="1" t="s">
        <v>18</v>
      </c>
      <c r="Q647" s="19">
        <v>3</v>
      </c>
      <c r="R647" s="19">
        <v>1</v>
      </c>
      <c r="S647" s="19">
        <v>27</v>
      </c>
      <c r="T647" s="14">
        <v>149500</v>
      </c>
      <c r="U647" s="14">
        <v>200000</v>
      </c>
      <c r="V647" s="14">
        <v>67000</v>
      </c>
      <c r="W647" s="4">
        <f t="shared" si="30"/>
        <v>0.33779264214046822</v>
      </c>
      <c r="Z647" s="11">
        <f t="shared" si="31"/>
        <v>0.33500000000000002</v>
      </c>
      <c r="AA647" s="19">
        <f t="shared" si="32"/>
        <v>133000</v>
      </c>
    </row>
    <row r="648" spans="2:27" x14ac:dyDescent="0.45">
      <c r="B648" s="7">
        <v>1813</v>
      </c>
      <c r="C648" s="1" t="s">
        <v>24</v>
      </c>
      <c r="D648" s="1" t="s">
        <v>1032</v>
      </c>
      <c r="E648" s="1" t="s">
        <v>1060</v>
      </c>
      <c r="F648" s="1" t="s">
        <v>1061</v>
      </c>
      <c r="G648" s="19">
        <v>10</v>
      </c>
      <c r="H648" s="19">
        <v>30</v>
      </c>
      <c r="I648" s="19">
        <v>50</v>
      </c>
      <c r="J648" s="19">
        <v>52</v>
      </c>
      <c r="K648" s="2" t="s">
        <v>278</v>
      </c>
      <c r="L648" s="2" t="s">
        <v>453</v>
      </c>
      <c r="M648" s="19">
        <v>2016</v>
      </c>
      <c r="N648" s="1" t="s">
        <v>447</v>
      </c>
      <c r="O648" s="19">
        <v>999</v>
      </c>
      <c r="P648" s="1" t="s">
        <v>18</v>
      </c>
      <c r="Q648" s="19">
        <v>3</v>
      </c>
      <c r="R648" s="19">
        <v>2</v>
      </c>
      <c r="S648" s="19">
        <v>35</v>
      </c>
      <c r="T648" s="14">
        <v>184500</v>
      </c>
      <c r="U648" s="14">
        <v>200000</v>
      </c>
      <c r="V648" s="14">
        <v>91000</v>
      </c>
      <c r="W648" s="4">
        <f t="shared" si="30"/>
        <v>8.4010840108401083E-2</v>
      </c>
      <c r="Z648" s="11">
        <f t="shared" si="31"/>
        <v>0.45500000000000002</v>
      </c>
      <c r="AA648" s="19">
        <f t="shared" si="32"/>
        <v>109000</v>
      </c>
    </row>
    <row r="649" spans="2:27" x14ac:dyDescent="0.45">
      <c r="B649" s="7">
        <v>1820</v>
      </c>
      <c r="C649" s="1" t="s">
        <v>24</v>
      </c>
      <c r="D649" s="1" t="s">
        <v>1032</v>
      </c>
      <c r="E649" s="1" t="s">
        <v>1063</v>
      </c>
      <c r="F649" s="1" t="s">
        <v>1064</v>
      </c>
      <c r="G649" s="19">
        <v>4</v>
      </c>
      <c r="H649" s="19">
        <v>45</v>
      </c>
      <c r="I649" s="19">
        <v>65</v>
      </c>
      <c r="J649" s="19">
        <v>65</v>
      </c>
      <c r="K649" s="2" t="s">
        <v>276</v>
      </c>
      <c r="L649" s="2" t="s">
        <v>439</v>
      </c>
      <c r="M649" s="19">
        <v>2013</v>
      </c>
      <c r="N649" s="1" t="s">
        <v>434</v>
      </c>
      <c r="O649" s="19">
        <v>1810</v>
      </c>
      <c r="P649" s="1" t="s">
        <v>18</v>
      </c>
      <c r="Q649" s="19">
        <v>3</v>
      </c>
      <c r="R649" s="19">
        <v>2</v>
      </c>
      <c r="S649" s="19">
        <v>24</v>
      </c>
      <c r="T649" s="14">
        <v>145000</v>
      </c>
      <c r="U649" s="14">
        <v>200000</v>
      </c>
      <c r="V649" s="14">
        <v>75000</v>
      </c>
      <c r="W649" s="4">
        <f t="shared" si="30"/>
        <v>0.37931034482758619</v>
      </c>
      <c r="Z649" s="11">
        <f t="shared" si="31"/>
        <v>0.375</v>
      </c>
      <c r="AA649" s="19">
        <f t="shared" si="32"/>
        <v>125000</v>
      </c>
    </row>
    <row r="650" spans="2:27" x14ac:dyDescent="0.45">
      <c r="B650" s="7">
        <v>2105</v>
      </c>
      <c r="C650" s="1" t="s">
        <v>1136</v>
      </c>
      <c r="D650" s="1" t="s">
        <v>1137</v>
      </c>
      <c r="E650" s="1" t="s">
        <v>1149</v>
      </c>
      <c r="F650" s="1" t="s">
        <v>1143</v>
      </c>
      <c r="G650" s="19">
        <v>6</v>
      </c>
      <c r="H650" s="19">
        <v>40</v>
      </c>
      <c r="I650" s="19">
        <v>15</v>
      </c>
      <c r="J650" s="19">
        <v>22</v>
      </c>
      <c r="K650" s="1" t="s">
        <v>29</v>
      </c>
      <c r="L650" s="2" t="s">
        <v>433</v>
      </c>
      <c r="M650" s="19">
        <v>1999</v>
      </c>
      <c r="N650" s="1" t="s">
        <v>440</v>
      </c>
      <c r="O650" s="19">
        <v>300</v>
      </c>
      <c r="P650" s="1" t="s">
        <v>5</v>
      </c>
      <c r="Q650" s="19">
        <v>3</v>
      </c>
      <c r="R650" s="19">
        <v>2</v>
      </c>
      <c r="S650" s="19">
        <v>33</v>
      </c>
      <c r="T650" s="14">
        <v>170000</v>
      </c>
      <c r="U650" s="14">
        <v>200000</v>
      </c>
      <c r="V650" s="14">
        <v>80000</v>
      </c>
      <c r="W650" s="4">
        <f t="shared" si="30"/>
        <v>0.17647058823529413</v>
      </c>
      <c r="Z650" s="11">
        <f t="shared" si="31"/>
        <v>0.4</v>
      </c>
      <c r="AA650" s="19">
        <f t="shared" si="32"/>
        <v>120000</v>
      </c>
    </row>
    <row r="651" spans="2:27" x14ac:dyDescent="0.45">
      <c r="B651" s="7">
        <v>1323</v>
      </c>
      <c r="C651" s="1" t="s">
        <v>0</v>
      </c>
      <c r="D651" s="1" t="s">
        <v>899</v>
      </c>
      <c r="E651" s="1" t="s">
        <v>912</v>
      </c>
      <c r="F651" s="1" t="s">
        <v>900</v>
      </c>
      <c r="G651" s="19">
        <v>5</v>
      </c>
      <c r="H651" s="19">
        <v>42</v>
      </c>
      <c r="I651" s="19">
        <v>25</v>
      </c>
      <c r="J651" s="19">
        <v>12</v>
      </c>
      <c r="K651" s="1" t="s">
        <v>17</v>
      </c>
      <c r="L651" s="2" t="s">
        <v>453</v>
      </c>
      <c r="M651" s="19">
        <v>2018</v>
      </c>
      <c r="N651" s="1" t="s">
        <v>434</v>
      </c>
      <c r="O651" s="19">
        <v>1910</v>
      </c>
      <c r="P651" s="1" t="s">
        <v>18</v>
      </c>
      <c r="Q651" s="19">
        <v>3</v>
      </c>
      <c r="R651" s="19">
        <v>2</v>
      </c>
      <c r="S651" s="19">
        <v>25</v>
      </c>
      <c r="T651" s="14">
        <v>151500</v>
      </c>
      <c r="U651" s="14">
        <v>203000</v>
      </c>
      <c r="V651" s="14">
        <v>79000</v>
      </c>
      <c r="W651" s="4">
        <f t="shared" si="30"/>
        <v>0.33993399339933994</v>
      </c>
      <c r="Z651" s="11">
        <f t="shared" si="31"/>
        <v>0.3891625615763547</v>
      </c>
      <c r="AA651" s="19">
        <f t="shared" si="32"/>
        <v>124000</v>
      </c>
    </row>
    <row r="652" spans="2:27" x14ac:dyDescent="0.45">
      <c r="B652" s="7">
        <v>281</v>
      </c>
      <c r="C652" s="1" t="s">
        <v>48</v>
      </c>
      <c r="D652" s="1" t="s">
        <v>508</v>
      </c>
      <c r="E652" s="1" t="s">
        <v>537</v>
      </c>
      <c r="F652" s="1" t="s">
        <v>538</v>
      </c>
      <c r="G652" s="19">
        <v>4</v>
      </c>
      <c r="H652" s="19">
        <v>53</v>
      </c>
      <c r="I652" s="19">
        <v>58</v>
      </c>
      <c r="J652" s="19">
        <v>52</v>
      </c>
      <c r="K652" s="1" t="s">
        <v>49</v>
      </c>
      <c r="L652" s="2" t="s">
        <v>453</v>
      </c>
      <c r="M652" s="19">
        <v>2019</v>
      </c>
      <c r="N652" s="1" t="s">
        <v>434</v>
      </c>
      <c r="O652" s="19">
        <v>4932</v>
      </c>
      <c r="P652" s="1" t="s">
        <v>18</v>
      </c>
      <c r="Q652" s="19">
        <v>3</v>
      </c>
      <c r="R652" s="19">
        <v>2</v>
      </c>
      <c r="S652" s="19">
        <v>25</v>
      </c>
      <c r="T652" s="14">
        <v>153000</v>
      </c>
      <c r="U652" s="14">
        <v>205000</v>
      </c>
      <c r="V652" s="14">
        <v>75000</v>
      </c>
      <c r="W652" s="4">
        <f t="shared" si="30"/>
        <v>0.33986928104575165</v>
      </c>
      <c r="Z652" s="11">
        <f t="shared" si="31"/>
        <v>0.36585365853658536</v>
      </c>
      <c r="AA652" s="19">
        <f t="shared" si="32"/>
        <v>130000</v>
      </c>
    </row>
    <row r="653" spans="2:27" x14ac:dyDescent="0.45">
      <c r="B653" s="7">
        <v>1822</v>
      </c>
      <c r="C653" s="1" t="s">
        <v>24</v>
      </c>
      <c r="D653" s="1" t="s">
        <v>1032</v>
      </c>
      <c r="E653" s="1" t="s">
        <v>1063</v>
      </c>
      <c r="F653" s="1" t="s">
        <v>1064</v>
      </c>
      <c r="G653" s="19">
        <v>4</v>
      </c>
      <c r="H653" s="19">
        <v>45</v>
      </c>
      <c r="I653" s="19">
        <v>65</v>
      </c>
      <c r="J653" s="19">
        <v>65</v>
      </c>
      <c r="K653" s="2" t="s">
        <v>276</v>
      </c>
      <c r="L653" s="2" t="s">
        <v>439</v>
      </c>
      <c r="M653" s="19">
        <v>2013</v>
      </c>
      <c r="N653" s="1" t="s">
        <v>434</v>
      </c>
      <c r="O653" s="19">
        <v>1810</v>
      </c>
      <c r="P653" s="1" t="s">
        <v>18</v>
      </c>
      <c r="Q653" s="19">
        <v>3</v>
      </c>
      <c r="R653" s="19">
        <v>2</v>
      </c>
      <c r="S653" s="19">
        <v>31</v>
      </c>
      <c r="T653" s="14">
        <v>140000</v>
      </c>
      <c r="U653" s="14">
        <v>205000</v>
      </c>
      <c r="V653" s="14">
        <v>90000</v>
      </c>
      <c r="W653" s="4">
        <f t="shared" si="30"/>
        <v>0.4642857142857143</v>
      </c>
      <c r="Z653" s="11">
        <f t="shared" si="31"/>
        <v>0.43902439024390244</v>
      </c>
      <c r="AA653" s="19">
        <f t="shared" si="32"/>
        <v>115000</v>
      </c>
    </row>
    <row r="654" spans="2:27" x14ac:dyDescent="0.45">
      <c r="B654" s="7">
        <v>1848</v>
      </c>
      <c r="C654" s="1" t="s">
        <v>24</v>
      </c>
      <c r="D654" s="1" t="s">
        <v>1032</v>
      </c>
      <c r="E654" s="1" t="s">
        <v>1070</v>
      </c>
      <c r="F654" s="1" t="s">
        <v>1047</v>
      </c>
      <c r="G654" s="19">
        <v>5</v>
      </c>
      <c r="H654" s="19">
        <v>25</v>
      </c>
      <c r="I654" s="19">
        <v>42</v>
      </c>
      <c r="J654" s="19">
        <v>45</v>
      </c>
      <c r="K654" s="2" t="s">
        <v>151</v>
      </c>
      <c r="L654" s="2" t="s">
        <v>439</v>
      </c>
      <c r="M654" s="19">
        <v>2012</v>
      </c>
      <c r="N654" s="1" t="s">
        <v>447</v>
      </c>
      <c r="O654" s="19">
        <v>794</v>
      </c>
      <c r="P654" s="1" t="s">
        <v>18</v>
      </c>
      <c r="Q654" s="19">
        <v>3</v>
      </c>
      <c r="R654" s="19">
        <v>2</v>
      </c>
      <c r="S654" s="19">
        <v>26</v>
      </c>
      <c r="T654" s="14">
        <v>166000</v>
      </c>
      <c r="U654" s="14">
        <v>205000</v>
      </c>
      <c r="V654" s="14">
        <v>92000</v>
      </c>
      <c r="W654" s="4">
        <f t="shared" si="30"/>
        <v>0.23493975903614459</v>
      </c>
      <c r="Z654" s="11">
        <f t="shared" si="31"/>
        <v>0.44878048780487806</v>
      </c>
      <c r="AA654" s="19">
        <f t="shared" si="32"/>
        <v>113000</v>
      </c>
    </row>
    <row r="655" spans="2:27" x14ac:dyDescent="0.45">
      <c r="B655" s="7">
        <v>1889</v>
      </c>
      <c r="C655" s="1" t="s">
        <v>24</v>
      </c>
      <c r="D655" s="1" t="s">
        <v>1032</v>
      </c>
      <c r="E655" s="1" t="s">
        <v>1076</v>
      </c>
      <c r="F655" s="1" t="s">
        <v>1073</v>
      </c>
      <c r="G655" s="19">
        <v>4</v>
      </c>
      <c r="H655" s="19">
        <v>30</v>
      </c>
      <c r="I655" s="19">
        <v>48</v>
      </c>
      <c r="J655" s="19">
        <v>50</v>
      </c>
      <c r="K655" s="2" t="s">
        <v>23</v>
      </c>
      <c r="L655" s="2" t="s">
        <v>439</v>
      </c>
      <c r="M655" s="19">
        <v>2007</v>
      </c>
      <c r="N655" s="1" t="s">
        <v>447</v>
      </c>
      <c r="O655" s="19">
        <v>919</v>
      </c>
      <c r="P655" s="1" t="s">
        <v>18</v>
      </c>
      <c r="Q655" s="19">
        <v>3</v>
      </c>
      <c r="R655" s="19">
        <v>2</v>
      </c>
      <c r="S655" s="19">
        <v>26</v>
      </c>
      <c r="T655" s="14">
        <v>157000</v>
      </c>
      <c r="U655" s="14">
        <v>205000</v>
      </c>
      <c r="V655" s="14">
        <v>90000</v>
      </c>
      <c r="W655" s="4">
        <f t="shared" si="30"/>
        <v>0.30573248407643311</v>
      </c>
      <c r="Z655" s="11">
        <f t="shared" si="31"/>
        <v>0.43902439024390244</v>
      </c>
      <c r="AA655" s="19">
        <f t="shared" si="32"/>
        <v>115000</v>
      </c>
    </row>
    <row r="656" spans="2:27" x14ac:dyDescent="0.45">
      <c r="B656" s="7">
        <v>276</v>
      </c>
      <c r="C656" s="1" t="s">
        <v>48</v>
      </c>
      <c r="D656" s="1" t="s">
        <v>508</v>
      </c>
      <c r="E656" s="1" t="s">
        <v>534</v>
      </c>
      <c r="F656" s="1" t="s">
        <v>535</v>
      </c>
      <c r="G656" s="19">
        <v>5</v>
      </c>
      <c r="H656" s="19">
        <v>52</v>
      </c>
      <c r="I656" s="19">
        <v>56</v>
      </c>
      <c r="J656" s="19">
        <v>50</v>
      </c>
      <c r="K656" s="1" t="s">
        <v>536</v>
      </c>
      <c r="L656" s="2" t="s">
        <v>453</v>
      </c>
      <c r="M656" s="19">
        <v>2016</v>
      </c>
      <c r="N656" s="1" t="s">
        <v>434</v>
      </c>
      <c r="O656" s="19">
        <v>3658</v>
      </c>
      <c r="P656" s="1" t="s">
        <v>18</v>
      </c>
      <c r="Q656" s="19">
        <v>3</v>
      </c>
      <c r="R656" s="19">
        <v>2</v>
      </c>
      <c r="S656" s="19">
        <v>33</v>
      </c>
      <c r="T656" s="14">
        <v>172000</v>
      </c>
      <c r="U656" s="14">
        <v>208000</v>
      </c>
      <c r="V656" s="14">
        <v>85000</v>
      </c>
      <c r="W656" s="4">
        <f t="shared" si="30"/>
        <v>0.20930232558139536</v>
      </c>
      <c r="Z656" s="11">
        <f t="shared" si="31"/>
        <v>0.40865384615384615</v>
      </c>
      <c r="AA656" s="19">
        <f t="shared" si="32"/>
        <v>123000</v>
      </c>
    </row>
    <row r="657" spans="2:27" x14ac:dyDescent="0.45">
      <c r="B657" s="7">
        <v>1512</v>
      </c>
      <c r="C657" s="1" t="s">
        <v>19</v>
      </c>
      <c r="D657" s="1" t="s">
        <v>964</v>
      </c>
      <c r="E657" s="1" t="s">
        <v>978</v>
      </c>
      <c r="F657" s="1" t="s">
        <v>977</v>
      </c>
      <c r="G657" s="19">
        <v>5</v>
      </c>
      <c r="H657" s="19">
        <v>22</v>
      </c>
      <c r="I657" s="19">
        <v>28</v>
      </c>
      <c r="J657" s="19">
        <v>25</v>
      </c>
      <c r="K657" s="1" t="s">
        <v>331</v>
      </c>
      <c r="L657" s="2" t="s">
        <v>433</v>
      </c>
      <c r="M657" s="19">
        <v>1999</v>
      </c>
      <c r="N657" s="1" t="s">
        <v>434</v>
      </c>
      <c r="O657" s="19">
        <v>1114</v>
      </c>
      <c r="P657" s="1" t="s">
        <v>5</v>
      </c>
      <c r="Q657" s="19">
        <v>3</v>
      </c>
      <c r="R657" s="19">
        <v>1</v>
      </c>
      <c r="S657" s="19">
        <v>25</v>
      </c>
      <c r="T657" s="14">
        <v>142000</v>
      </c>
      <c r="U657" s="14">
        <v>208000</v>
      </c>
      <c r="V657" s="14">
        <v>68000</v>
      </c>
      <c r="W657" s="4">
        <f t="shared" si="30"/>
        <v>0.46478873239436619</v>
      </c>
      <c r="Z657" s="11">
        <f t="shared" si="31"/>
        <v>0.32692307692307693</v>
      </c>
      <c r="AA657" s="19">
        <f t="shared" si="32"/>
        <v>140000</v>
      </c>
    </row>
    <row r="658" spans="2:27" x14ac:dyDescent="0.45">
      <c r="B658" s="7">
        <v>1017</v>
      </c>
      <c r="C658" s="1" t="s">
        <v>14</v>
      </c>
      <c r="D658" s="1" t="s">
        <v>816</v>
      </c>
      <c r="E658" s="1" t="s">
        <v>843</v>
      </c>
      <c r="F658" s="1" t="s">
        <v>844</v>
      </c>
      <c r="G658" s="19">
        <v>5</v>
      </c>
      <c r="H658" s="19">
        <v>20</v>
      </c>
      <c r="I658" s="19">
        <v>26</v>
      </c>
      <c r="J658" s="19">
        <v>33</v>
      </c>
      <c r="K658" s="2" t="s">
        <v>251</v>
      </c>
      <c r="L658" s="2" t="s">
        <v>453</v>
      </c>
      <c r="M658" s="19">
        <v>2021</v>
      </c>
      <c r="N658" s="1" t="s">
        <v>447</v>
      </c>
      <c r="O658" s="19">
        <v>950</v>
      </c>
      <c r="P658" s="1" t="s">
        <v>18</v>
      </c>
      <c r="Q658" s="19">
        <v>3</v>
      </c>
      <c r="R658" s="19">
        <v>2</v>
      </c>
      <c r="S658" s="19">
        <v>33</v>
      </c>
      <c r="T658" s="14">
        <v>162500</v>
      </c>
      <c r="U658" s="14">
        <v>208500</v>
      </c>
      <c r="V658" s="14">
        <v>100000</v>
      </c>
      <c r="W658" s="4">
        <f t="shared" si="30"/>
        <v>0.28307692307692306</v>
      </c>
      <c r="Z658" s="11">
        <f t="shared" si="31"/>
        <v>0.47961630695443647</v>
      </c>
      <c r="AA658" s="19">
        <f t="shared" si="32"/>
        <v>108500</v>
      </c>
    </row>
    <row r="659" spans="2:27" x14ac:dyDescent="0.45">
      <c r="B659" s="7">
        <v>973</v>
      </c>
      <c r="C659" s="1" t="s">
        <v>89</v>
      </c>
      <c r="D659" s="1" t="s">
        <v>816</v>
      </c>
      <c r="E659" s="1" t="s">
        <v>827</v>
      </c>
      <c r="F659" s="1" t="s">
        <v>828</v>
      </c>
      <c r="G659" s="19">
        <v>5</v>
      </c>
      <c r="H659" s="19">
        <v>22</v>
      </c>
      <c r="I659" s="19">
        <v>28</v>
      </c>
      <c r="J659" s="19">
        <v>35</v>
      </c>
      <c r="K659" s="2" t="s">
        <v>355</v>
      </c>
      <c r="L659" s="2" t="s">
        <v>439</v>
      </c>
      <c r="M659" s="19">
        <v>2013</v>
      </c>
      <c r="N659" s="1" t="s">
        <v>447</v>
      </c>
      <c r="O659" s="19">
        <v>680</v>
      </c>
      <c r="P659" s="1" t="s">
        <v>18</v>
      </c>
      <c r="Q659" s="19">
        <v>3</v>
      </c>
      <c r="R659" s="19">
        <v>2</v>
      </c>
      <c r="S659" s="19">
        <v>33</v>
      </c>
      <c r="T659" s="14">
        <v>166000</v>
      </c>
      <c r="U659" s="14">
        <v>209000</v>
      </c>
      <c r="V659" s="14">
        <v>110000</v>
      </c>
      <c r="W659" s="4">
        <f t="shared" si="30"/>
        <v>0.25903614457831325</v>
      </c>
      <c r="Z659" s="11">
        <f t="shared" si="31"/>
        <v>0.52631578947368418</v>
      </c>
      <c r="AA659" s="19">
        <f t="shared" si="32"/>
        <v>99000</v>
      </c>
    </row>
    <row r="660" spans="2:27" x14ac:dyDescent="0.45">
      <c r="B660" s="7">
        <v>26</v>
      </c>
      <c r="C660" s="1" t="s">
        <v>435</v>
      </c>
      <c r="D660" s="1" t="s">
        <v>436</v>
      </c>
      <c r="E660" s="1" t="s">
        <v>450</v>
      </c>
      <c r="F660" s="1" t="s">
        <v>451</v>
      </c>
      <c r="G660" s="19">
        <v>3</v>
      </c>
      <c r="H660" s="19">
        <v>28</v>
      </c>
      <c r="I660" s="19">
        <v>45</v>
      </c>
      <c r="J660" s="19">
        <v>50</v>
      </c>
      <c r="K660" s="2" t="s">
        <v>360</v>
      </c>
      <c r="L660" s="2" t="s">
        <v>433</v>
      </c>
      <c r="M660" s="19">
        <v>1993</v>
      </c>
      <c r="N660" s="1" t="s">
        <v>434</v>
      </c>
      <c r="O660" s="19">
        <v>1404</v>
      </c>
      <c r="P660" s="1" t="s">
        <v>5</v>
      </c>
      <c r="Q660" s="19">
        <v>2</v>
      </c>
      <c r="R660" s="19">
        <v>1</v>
      </c>
      <c r="S660" s="19">
        <v>20</v>
      </c>
      <c r="T660" s="14">
        <v>148800</v>
      </c>
      <c r="U660" s="14">
        <v>210000</v>
      </c>
      <c r="V660" s="14">
        <v>60000</v>
      </c>
      <c r="W660" s="4">
        <f t="shared" si="30"/>
        <v>0.41129032258064518</v>
      </c>
      <c r="Z660" s="11">
        <f t="shared" si="31"/>
        <v>0.2857142857142857</v>
      </c>
      <c r="AA660" s="19">
        <f t="shared" si="32"/>
        <v>150000</v>
      </c>
    </row>
    <row r="661" spans="2:27" x14ac:dyDescent="0.45">
      <c r="B661" s="7">
        <v>229</v>
      </c>
      <c r="C661" s="1" t="s">
        <v>510</v>
      </c>
      <c r="D661" s="1" t="s">
        <v>508</v>
      </c>
      <c r="E661" s="1" t="s">
        <v>519</v>
      </c>
      <c r="F661" s="1" t="s">
        <v>520</v>
      </c>
      <c r="G661" s="19">
        <v>4</v>
      </c>
      <c r="H661" s="19">
        <v>48</v>
      </c>
      <c r="I661" s="19">
        <v>52</v>
      </c>
      <c r="J661" s="19">
        <v>46</v>
      </c>
      <c r="K661" s="1" t="s">
        <v>241</v>
      </c>
      <c r="L661" s="2" t="s">
        <v>433</v>
      </c>
      <c r="M661" s="19">
        <v>1983</v>
      </c>
      <c r="N661" s="1" t="s">
        <v>434</v>
      </c>
      <c r="O661" s="19">
        <v>2400</v>
      </c>
      <c r="P661" s="1" t="s">
        <v>18</v>
      </c>
      <c r="Q661" s="19">
        <v>3</v>
      </c>
      <c r="R661" s="19">
        <v>2</v>
      </c>
      <c r="S661" s="19">
        <v>33</v>
      </c>
      <c r="T661" s="14">
        <v>165500</v>
      </c>
      <c r="U661" s="14">
        <v>210000</v>
      </c>
      <c r="V661" s="14">
        <v>65000</v>
      </c>
      <c r="W661" s="4">
        <f t="shared" si="30"/>
        <v>0.26888217522658608</v>
      </c>
      <c r="Z661" s="11">
        <f t="shared" si="31"/>
        <v>0.30952380952380953</v>
      </c>
      <c r="AA661" s="19">
        <f t="shared" si="32"/>
        <v>145000</v>
      </c>
    </row>
    <row r="662" spans="2:27" x14ac:dyDescent="0.45">
      <c r="B662" s="7">
        <v>964</v>
      </c>
      <c r="C662" s="1" t="s">
        <v>421</v>
      </c>
      <c r="D662" s="1" t="s">
        <v>816</v>
      </c>
      <c r="E662" s="1" t="s">
        <v>823</v>
      </c>
      <c r="F662" s="1" t="s">
        <v>819</v>
      </c>
      <c r="G662" s="19">
        <v>4</v>
      </c>
      <c r="H662" s="19">
        <v>28</v>
      </c>
      <c r="I662" s="19">
        <v>21</v>
      </c>
      <c r="J662" s="19">
        <v>31</v>
      </c>
      <c r="K662" s="2" t="s">
        <v>425</v>
      </c>
      <c r="L662" s="2" t="s">
        <v>439</v>
      </c>
      <c r="M662" s="19">
        <v>2012</v>
      </c>
      <c r="N662" s="1" t="s">
        <v>447</v>
      </c>
      <c r="O662" s="19">
        <v>863</v>
      </c>
      <c r="P662" s="1" t="s">
        <v>18</v>
      </c>
      <c r="Q662" s="19">
        <v>3</v>
      </c>
      <c r="R662" s="19">
        <v>2</v>
      </c>
      <c r="S662" s="19">
        <v>33</v>
      </c>
      <c r="T662" s="14">
        <v>180000</v>
      </c>
      <c r="U662" s="14">
        <v>210000</v>
      </c>
      <c r="V662" s="14">
        <v>84500</v>
      </c>
      <c r="W662" s="4">
        <f t="shared" si="30"/>
        <v>0.16666666666666666</v>
      </c>
      <c r="Z662" s="11">
        <f t="shared" si="31"/>
        <v>0.40238095238095239</v>
      </c>
      <c r="AA662" s="19">
        <f t="shared" si="32"/>
        <v>125500</v>
      </c>
    </row>
    <row r="663" spans="2:27" x14ac:dyDescent="0.45">
      <c r="B663" s="7">
        <v>982</v>
      </c>
      <c r="C663" s="1" t="s">
        <v>89</v>
      </c>
      <c r="D663" s="1" t="s">
        <v>816</v>
      </c>
      <c r="E663" s="1" t="s">
        <v>831</v>
      </c>
      <c r="F663" s="1" t="s">
        <v>830</v>
      </c>
      <c r="G663" s="19">
        <v>6</v>
      </c>
      <c r="H663" s="19">
        <v>25</v>
      </c>
      <c r="I663" s="19">
        <v>30</v>
      </c>
      <c r="J663" s="19">
        <v>38</v>
      </c>
      <c r="K663" s="2" t="s">
        <v>354</v>
      </c>
      <c r="L663" s="2" t="s">
        <v>453</v>
      </c>
      <c r="M663" s="19">
        <v>2018</v>
      </c>
      <c r="N663" s="1" t="s">
        <v>447</v>
      </c>
      <c r="O663" s="19">
        <v>668</v>
      </c>
      <c r="P663" s="1" t="s">
        <v>18</v>
      </c>
      <c r="Q663" s="19">
        <v>3</v>
      </c>
      <c r="R663" s="19">
        <v>2</v>
      </c>
      <c r="S663" s="19">
        <v>32</v>
      </c>
      <c r="T663" s="14">
        <v>176000</v>
      </c>
      <c r="U663" s="14">
        <v>210000</v>
      </c>
      <c r="V663" s="14">
        <v>98000</v>
      </c>
      <c r="W663" s="4">
        <f t="shared" si="30"/>
        <v>0.19318181818181818</v>
      </c>
      <c r="Z663" s="11">
        <f t="shared" si="31"/>
        <v>0.46666666666666667</v>
      </c>
      <c r="AA663" s="19">
        <f t="shared" si="32"/>
        <v>112000</v>
      </c>
    </row>
    <row r="664" spans="2:27" x14ac:dyDescent="0.45">
      <c r="B664" s="7">
        <v>1074</v>
      </c>
      <c r="C664" s="1" t="s">
        <v>89</v>
      </c>
      <c r="D664" s="1" t="s">
        <v>816</v>
      </c>
      <c r="E664" s="1" t="s">
        <v>854</v>
      </c>
      <c r="F664" s="1" t="s">
        <v>855</v>
      </c>
      <c r="G664" s="19">
        <v>3</v>
      </c>
      <c r="H664" s="19">
        <v>16</v>
      </c>
      <c r="I664" s="19">
        <v>24</v>
      </c>
      <c r="J664" s="19">
        <v>34</v>
      </c>
      <c r="K664" s="2" t="s">
        <v>231</v>
      </c>
      <c r="L664" s="2" t="s">
        <v>439</v>
      </c>
      <c r="M664" s="19">
        <v>2011</v>
      </c>
      <c r="N664" s="1" t="s">
        <v>440</v>
      </c>
      <c r="O664" s="19">
        <v>451</v>
      </c>
      <c r="P664" s="1" t="s">
        <v>18</v>
      </c>
      <c r="Q664" s="19">
        <v>3</v>
      </c>
      <c r="R664" s="19">
        <v>2</v>
      </c>
      <c r="S664" s="19">
        <v>33</v>
      </c>
      <c r="T664" s="14">
        <v>180000</v>
      </c>
      <c r="U664" s="14">
        <v>210000</v>
      </c>
      <c r="V664" s="14">
        <v>95000</v>
      </c>
      <c r="W664" s="4">
        <f t="shared" si="30"/>
        <v>0.16666666666666666</v>
      </c>
      <c r="Z664" s="11">
        <f t="shared" si="31"/>
        <v>0.45238095238095238</v>
      </c>
      <c r="AA664" s="19">
        <f t="shared" si="32"/>
        <v>115000</v>
      </c>
    </row>
    <row r="665" spans="2:27" x14ac:dyDescent="0.45">
      <c r="B665" s="7">
        <v>1398</v>
      </c>
      <c r="C665" s="1" t="s">
        <v>148</v>
      </c>
      <c r="D665" s="1" t="s">
        <v>929</v>
      </c>
      <c r="E665" s="1" t="s">
        <v>944</v>
      </c>
      <c r="F665" s="1" t="s">
        <v>934</v>
      </c>
      <c r="G665" s="19">
        <v>4</v>
      </c>
      <c r="H665" s="19">
        <v>25</v>
      </c>
      <c r="I665" s="19">
        <v>48</v>
      </c>
      <c r="J665" s="19">
        <v>50</v>
      </c>
      <c r="K665" s="2" t="s">
        <v>263</v>
      </c>
      <c r="L665" s="2" t="s">
        <v>439</v>
      </c>
      <c r="M665" s="19">
        <v>2011</v>
      </c>
      <c r="N665" s="1" t="s">
        <v>440</v>
      </c>
      <c r="O665" s="19">
        <v>409</v>
      </c>
      <c r="P665" s="1" t="s">
        <v>18</v>
      </c>
      <c r="Q665" s="19">
        <v>3</v>
      </c>
      <c r="R665" s="19">
        <v>2</v>
      </c>
      <c r="S665" s="19">
        <v>33</v>
      </c>
      <c r="T665" s="14">
        <v>174500</v>
      </c>
      <c r="U665" s="14">
        <v>210000</v>
      </c>
      <c r="V665" s="14">
        <v>90000</v>
      </c>
      <c r="W665" s="4">
        <f t="shared" si="30"/>
        <v>0.20343839541547279</v>
      </c>
      <c r="Z665" s="11">
        <f t="shared" si="31"/>
        <v>0.42857142857142855</v>
      </c>
      <c r="AA665" s="19">
        <f t="shared" si="32"/>
        <v>120000</v>
      </c>
    </row>
    <row r="666" spans="2:27" x14ac:dyDescent="0.45">
      <c r="B666" s="7">
        <v>1521</v>
      </c>
      <c r="C666" s="1" t="s">
        <v>8</v>
      </c>
      <c r="D666" s="1" t="s">
        <v>964</v>
      </c>
      <c r="E666" s="1" t="s">
        <v>981</v>
      </c>
      <c r="F666" s="1" t="s">
        <v>970</v>
      </c>
      <c r="G666" s="19">
        <v>2</v>
      </c>
      <c r="H666" s="19">
        <v>32</v>
      </c>
      <c r="I666" s="19">
        <v>30</v>
      </c>
      <c r="J666" s="19">
        <v>12</v>
      </c>
      <c r="K666" s="1" t="s">
        <v>273</v>
      </c>
      <c r="L666" s="2" t="s">
        <v>453</v>
      </c>
      <c r="M666" s="19">
        <v>2016</v>
      </c>
      <c r="N666" s="1" t="s">
        <v>434</v>
      </c>
      <c r="O666" s="19">
        <v>2529</v>
      </c>
      <c r="P666" s="1" t="s">
        <v>18</v>
      </c>
      <c r="Q666" s="19">
        <v>3</v>
      </c>
      <c r="R666" s="19">
        <v>2</v>
      </c>
      <c r="S666" s="19">
        <v>25</v>
      </c>
      <c r="T666" s="14">
        <v>153000</v>
      </c>
      <c r="U666" s="14">
        <v>210000</v>
      </c>
      <c r="V666" s="14">
        <v>76500</v>
      </c>
      <c r="W666" s="4">
        <f t="shared" si="30"/>
        <v>0.37254901960784315</v>
      </c>
      <c r="Z666" s="11">
        <f t="shared" si="31"/>
        <v>0.36428571428571427</v>
      </c>
      <c r="AA666" s="19">
        <f t="shared" si="32"/>
        <v>133500</v>
      </c>
    </row>
    <row r="667" spans="2:27" x14ac:dyDescent="0.45">
      <c r="B667" s="7">
        <v>1761</v>
      </c>
      <c r="C667" s="1" t="s">
        <v>24</v>
      </c>
      <c r="D667" s="1" t="s">
        <v>1032</v>
      </c>
      <c r="E667" s="1" t="s">
        <v>1044</v>
      </c>
      <c r="F667" s="1" t="s">
        <v>1036</v>
      </c>
      <c r="G667" s="19">
        <v>12</v>
      </c>
      <c r="H667" s="19">
        <v>35</v>
      </c>
      <c r="I667" s="19">
        <v>35</v>
      </c>
      <c r="J667" s="19">
        <v>42</v>
      </c>
      <c r="K667" s="2" t="s">
        <v>369</v>
      </c>
      <c r="L667" s="2" t="s">
        <v>453</v>
      </c>
      <c r="M667" s="19">
        <v>2019</v>
      </c>
      <c r="N667" s="1" t="s">
        <v>447</v>
      </c>
      <c r="O667" s="19">
        <v>697</v>
      </c>
      <c r="P667" s="1" t="s">
        <v>18</v>
      </c>
      <c r="Q667" s="19">
        <v>2</v>
      </c>
      <c r="R667" s="19">
        <v>1</v>
      </c>
      <c r="S667" s="19">
        <v>22</v>
      </c>
      <c r="T667" s="14">
        <v>126000</v>
      </c>
      <c r="U667" s="14">
        <v>210000</v>
      </c>
      <c r="V667" s="14">
        <v>90000</v>
      </c>
      <c r="W667" s="4">
        <f t="shared" si="30"/>
        <v>0.66666666666666663</v>
      </c>
      <c r="Z667" s="11">
        <f t="shared" si="31"/>
        <v>0.42857142857142855</v>
      </c>
      <c r="AA667" s="19">
        <f t="shared" si="32"/>
        <v>120000</v>
      </c>
    </row>
    <row r="668" spans="2:27" x14ac:dyDescent="0.45">
      <c r="B668" s="7">
        <v>1821</v>
      </c>
      <c r="C668" s="1" t="s">
        <v>24</v>
      </c>
      <c r="D668" s="1" t="s">
        <v>1032</v>
      </c>
      <c r="E668" s="1" t="s">
        <v>1063</v>
      </c>
      <c r="F668" s="1" t="s">
        <v>1064</v>
      </c>
      <c r="G668" s="19">
        <v>4</v>
      </c>
      <c r="H668" s="19">
        <v>45</v>
      </c>
      <c r="I668" s="19">
        <v>65</v>
      </c>
      <c r="J668" s="19">
        <v>65</v>
      </c>
      <c r="K668" s="2" t="s">
        <v>276</v>
      </c>
      <c r="L668" s="2" t="s">
        <v>439</v>
      </c>
      <c r="M668" s="19">
        <v>2013</v>
      </c>
      <c r="N668" s="1" t="s">
        <v>434</v>
      </c>
      <c r="O668" s="19">
        <v>1810</v>
      </c>
      <c r="P668" s="1" t="s">
        <v>18</v>
      </c>
      <c r="Q668" s="19">
        <v>3</v>
      </c>
      <c r="R668" s="19">
        <v>2</v>
      </c>
      <c r="S668" s="19">
        <v>35</v>
      </c>
      <c r="T668" s="14">
        <v>167000</v>
      </c>
      <c r="U668" s="14">
        <v>210000</v>
      </c>
      <c r="V668" s="14">
        <v>95000</v>
      </c>
      <c r="W668" s="4">
        <f t="shared" si="30"/>
        <v>0.25748502994011974</v>
      </c>
      <c r="Z668" s="11">
        <f t="shared" si="31"/>
        <v>0.45238095238095238</v>
      </c>
      <c r="AA668" s="19">
        <f t="shared" si="32"/>
        <v>115000</v>
      </c>
    </row>
    <row r="669" spans="2:27" x14ac:dyDescent="0.45">
      <c r="B669" s="7">
        <v>1869</v>
      </c>
      <c r="C669" s="1" t="s">
        <v>24</v>
      </c>
      <c r="D669" s="1" t="s">
        <v>1032</v>
      </c>
      <c r="E669" s="1" t="s">
        <v>1065</v>
      </c>
      <c r="F669" s="1" t="s">
        <v>1066</v>
      </c>
      <c r="G669" s="19">
        <v>5</v>
      </c>
      <c r="H669" s="19">
        <v>40</v>
      </c>
      <c r="I669" s="19">
        <v>55</v>
      </c>
      <c r="J669" s="19">
        <v>55</v>
      </c>
      <c r="K669" s="2" t="s">
        <v>42</v>
      </c>
      <c r="L669" s="2" t="s">
        <v>453</v>
      </c>
      <c r="M669" s="19">
        <v>2021</v>
      </c>
      <c r="N669" s="1" t="s">
        <v>434</v>
      </c>
      <c r="O669" s="19">
        <v>1945</v>
      </c>
      <c r="P669" s="1" t="s">
        <v>18</v>
      </c>
      <c r="Q669" s="19">
        <v>3</v>
      </c>
      <c r="R669" s="19">
        <v>2</v>
      </c>
      <c r="S669" s="19">
        <v>33</v>
      </c>
      <c r="T669" s="14">
        <v>147000</v>
      </c>
      <c r="U669" s="14">
        <v>210000</v>
      </c>
      <c r="V669" s="14">
        <v>72000</v>
      </c>
      <c r="W669" s="4">
        <f t="shared" si="30"/>
        <v>0.42857142857142855</v>
      </c>
      <c r="Z669" s="11">
        <f t="shared" si="31"/>
        <v>0.34285714285714286</v>
      </c>
      <c r="AA669" s="19">
        <f t="shared" si="32"/>
        <v>138000</v>
      </c>
    </row>
    <row r="670" spans="2:27" x14ac:dyDescent="0.45">
      <c r="B670" s="7">
        <v>1995</v>
      </c>
      <c r="C670" s="1" t="s">
        <v>100</v>
      </c>
      <c r="D670" s="1" t="s">
        <v>1107</v>
      </c>
      <c r="E670" s="1" t="s">
        <v>1117</v>
      </c>
      <c r="F670" s="1" t="s">
        <v>1112</v>
      </c>
      <c r="G670" s="19">
        <v>5</v>
      </c>
      <c r="H670" s="19">
        <v>38</v>
      </c>
      <c r="I670" s="19">
        <v>10</v>
      </c>
      <c r="J670" s="19">
        <v>18</v>
      </c>
      <c r="K670" s="1" t="s">
        <v>1118</v>
      </c>
      <c r="L670" s="2" t="s">
        <v>453</v>
      </c>
      <c r="M670" s="19">
        <v>2017</v>
      </c>
      <c r="N670" s="1" t="s">
        <v>434</v>
      </c>
      <c r="O670" s="19">
        <v>1221</v>
      </c>
      <c r="P670" s="1" t="s">
        <v>18</v>
      </c>
      <c r="Q670" s="19">
        <v>3</v>
      </c>
      <c r="R670" s="19">
        <v>2</v>
      </c>
      <c r="S670" s="19">
        <v>33</v>
      </c>
      <c r="T670" s="14">
        <v>178500</v>
      </c>
      <c r="U670" s="14">
        <v>210000</v>
      </c>
      <c r="V670" s="14">
        <v>100000</v>
      </c>
      <c r="W670" s="4">
        <f t="shared" si="30"/>
        <v>0.17647058823529413</v>
      </c>
      <c r="Z670" s="11">
        <f t="shared" si="31"/>
        <v>0.47619047619047616</v>
      </c>
      <c r="AA670" s="19">
        <f t="shared" si="32"/>
        <v>110000</v>
      </c>
    </row>
    <row r="671" spans="2:27" x14ac:dyDescent="0.45">
      <c r="B671" s="7">
        <v>241</v>
      </c>
      <c r="C671" s="1" t="s">
        <v>48</v>
      </c>
      <c r="D671" s="1" t="s">
        <v>508</v>
      </c>
      <c r="E671" s="1" t="s">
        <v>523</v>
      </c>
      <c r="F671" s="1" t="s">
        <v>520</v>
      </c>
      <c r="G671" s="19">
        <v>3</v>
      </c>
      <c r="H671" s="19">
        <v>45</v>
      </c>
      <c r="I671" s="19">
        <v>49</v>
      </c>
      <c r="J671" s="19">
        <v>44</v>
      </c>
      <c r="K671" s="1" t="s">
        <v>150</v>
      </c>
      <c r="L671" s="2" t="s">
        <v>453</v>
      </c>
      <c r="M671" s="19">
        <v>2019</v>
      </c>
      <c r="N671" s="1" t="s">
        <v>434</v>
      </c>
      <c r="O671" s="19">
        <v>1900</v>
      </c>
      <c r="P671" s="1" t="s">
        <v>18</v>
      </c>
      <c r="Q671" s="19">
        <v>3</v>
      </c>
      <c r="R671" s="19">
        <v>2</v>
      </c>
      <c r="S671" s="19">
        <v>32</v>
      </c>
      <c r="T671" s="14">
        <v>149500</v>
      </c>
      <c r="U671" s="14">
        <v>215000</v>
      </c>
      <c r="V671" s="14">
        <v>90000</v>
      </c>
      <c r="W671" s="4">
        <f t="shared" si="30"/>
        <v>0.43812709030100333</v>
      </c>
      <c r="Z671" s="11">
        <f t="shared" si="31"/>
        <v>0.41860465116279072</v>
      </c>
      <c r="AA671" s="19">
        <f t="shared" si="32"/>
        <v>125000</v>
      </c>
    </row>
    <row r="672" spans="2:27" x14ac:dyDescent="0.45">
      <c r="B672" s="7">
        <v>1139</v>
      </c>
      <c r="C672" s="1" t="s">
        <v>869</v>
      </c>
      <c r="D672" s="1" t="s">
        <v>866</v>
      </c>
      <c r="E672" s="1" t="s">
        <v>876</v>
      </c>
      <c r="F672" s="1" t="s">
        <v>868</v>
      </c>
      <c r="G672" s="19">
        <v>8</v>
      </c>
      <c r="H672" s="19">
        <v>38</v>
      </c>
      <c r="I672" s="19">
        <v>18</v>
      </c>
      <c r="J672" s="19">
        <v>20</v>
      </c>
      <c r="K672" s="1" t="s">
        <v>309</v>
      </c>
      <c r="L672" s="2" t="s">
        <v>453</v>
      </c>
      <c r="M672" s="19">
        <v>2019</v>
      </c>
      <c r="N672" s="1" t="s">
        <v>434</v>
      </c>
      <c r="O672" s="19">
        <v>1015</v>
      </c>
      <c r="P672" s="1" t="s">
        <v>18</v>
      </c>
      <c r="Q672" s="19">
        <v>3</v>
      </c>
      <c r="R672" s="19">
        <v>2</v>
      </c>
      <c r="S672" s="19">
        <v>25</v>
      </c>
      <c r="T672" s="14">
        <v>168500</v>
      </c>
      <c r="U672" s="14">
        <v>215000</v>
      </c>
      <c r="V672" s="14">
        <v>87000</v>
      </c>
      <c r="W672" s="4">
        <f t="shared" si="30"/>
        <v>0.27596439169139464</v>
      </c>
      <c r="Z672" s="11">
        <f t="shared" si="31"/>
        <v>0.40465116279069768</v>
      </c>
      <c r="AA672" s="19">
        <f t="shared" si="32"/>
        <v>128000</v>
      </c>
    </row>
    <row r="673" spans="2:27" x14ac:dyDescent="0.45">
      <c r="B673" s="7">
        <v>1222</v>
      </c>
      <c r="C673" s="1" t="s">
        <v>31</v>
      </c>
      <c r="D673" s="1" t="s">
        <v>866</v>
      </c>
      <c r="E673" s="1" t="s">
        <v>896</v>
      </c>
      <c r="F673" s="1" t="s">
        <v>874</v>
      </c>
      <c r="G673" s="19">
        <v>4</v>
      </c>
      <c r="H673" s="19">
        <v>38</v>
      </c>
      <c r="I673" s="19">
        <v>15</v>
      </c>
      <c r="J673" s="19">
        <v>25</v>
      </c>
      <c r="K673" s="1" t="s">
        <v>111</v>
      </c>
      <c r="L673" s="2" t="s">
        <v>433</v>
      </c>
      <c r="M673" s="19">
        <v>1999</v>
      </c>
      <c r="N673" s="1" t="s">
        <v>434</v>
      </c>
      <c r="O673" s="19">
        <v>1992</v>
      </c>
      <c r="P673" s="1" t="s">
        <v>18</v>
      </c>
      <c r="Q673" s="19">
        <v>3</v>
      </c>
      <c r="R673" s="19">
        <v>2</v>
      </c>
      <c r="S673" s="19">
        <v>33</v>
      </c>
      <c r="T673" s="14">
        <v>175000</v>
      </c>
      <c r="U673" s="14">
        <v>215000</v>
      </c>
      <c r="V673" s="14">
        <v>92000</v>
      </c>
      <c r="W673" s="4">
        <f t="shared" si="30"/>
        <v>0.22857142857142856</v>
      </c>
      <c r="Z673" s="11">
        <f t="shared" si="31"/>
        <v>0.42790697674418604</v>
      </c>
      <c r="AA673" s="19">
        <f t="shared" si="32"/>
        <v>123000</v>
      </c>
    </row>
    <row r="674" spans="2:27" x14ac:dyDescent="0.45">
      <c r="B674" s="7">
        <v>1467</v>
      </c>
      <c r="C674" s="1" t="s">
        <v>8</v>
      </c>
      <c r="D674" s="1" t="s">
        <v>964</v>
      </c>
      <c r="E674" s="1" t="s">
        <v>965</v>
      </c>
      <c r="F674" s="1" t="s">
        <v>966</v>
      </c>
      <c r="G674" s="19">
        <v>5</v>
      </c>
      <c r="H674" s="19">
        <v>28</v>
      </c>
      <c r="I674" s="19">
        <v>30</v>
      </c>
      <c r="J674" s="19">
        <v>25</v>
      </c>
      <c r="K674" s="1" t="s">
        <v>432</v>
      </c>
      <c r="L674" s="2" t="s">
        <v>453</v>
      </c>
      <c r="M674" s="19">
        <v>2018</v>
      </c>
      <c r="N674" s="1" t="s">
        <v>447</v>
      </c>
      <c r="O674" s="19">
        <v>606</v>
      </c>
      <c r="P674" s="1" t="s">
        <v>18</v>
      </c>
      <c r="Q674" s="19">
        <v>3</v>
      </c>
      <c r="R674" s="19">
        <v>2</v>
      </c>
      <c r="S674" s="19">
        <v>25</v>
      </c>
      <c r="T674" s="14">
        <v>155000</v>
      </c>
      <c r="U674" s="14">
        <v>215000</v>
      </c>
      <c r="V674" s="14">
        <v>79500</v>
      </c>
      <c r="W674" s="4">
        <f t="shared" si="30"/>
        <v>0.38709677419354838</v>
      </c>
      <c r="Z674" s="11">
        <f t="shared" si="31"/>
        <v>0.36976744186046512</v>
      </c>
      <c r="AA674" s="19">
        <f t="shared" si="32"/>
        <v>135500</v>
      </c>
    </row>
    <row r="675" spans="2:27" x14ac:dyDescent="0.45">
      <c r="B675" s="7">
        <v>1554</v>
      </c>
      <c r="C675" s="1" t="s">
        <v>8</v>
      </c>
      <c r="D675" s="1" t="s">
        <v>964</v>
      </c>
      <c r="E675" s="1" t="s">
        <v>989</v>
      </c>
      <c r="F675" s="1" t="s">
        <v>968</v>
      </c>
      <c r="G675" s="19">
        <v>5</v>
      </c>
      <c r="H675" s="19">
        <v>30</v>
      </c>
      <c r="I675" s="19">
        <v>25</v>
      </c>
      <c r="J675" s="19">
        <v>18</v>
      </c>
      <c r="K675" s="1" t="s">
        <v>135</v>
      </c>
      <c r="L675" s="2" t="s">
        <v>453</v>
      </c>
      <c r="M675" s="19">
        <v>2025</v>
      </c>
      <c r="N675" s="1" t="s">
        <v>447</v>
      </c>
      <c r="O675" s="19">
        <v>958</v>
      </c>
      <c r="P675" s="1" t="s">
        <v>18</v>
      </c>
      <c r="Q675" s="19">
        <v>3</v>
      </c>
      <c r="R675" s="19">
        <v>2</v>
      </c>
      <c r="S675" s="19">
        <v>25</v>
      </c>
      <c r="T675" s="14">
        <v>0</v>
      </c>
      <c r="U675" s="14">
        <v>215000</v>
      </c>
      <c r="V675" s="14">
        <v>75000</v>
      </c>
      <c r="W675" s="4" t="e">
        <f t="shared" si="30"/>
        <v>#DIV/0!</v>
      </c>
      <c r="Z675" s="11">
        <f t="shared" si="31"/>
        <v>0.34883720930232559</v>
      </c>
      <c r="AA675" s="19">
        <f t="shared" si="32"/>
        <v>140000</v>
      </c>
    </row>
    <row r="676" spans="2:27" x14ac:dyDescent="0.45">
      <c r="B676" s="7">
        <v>1902</v>
      </c>
      <c r="C676" s="1" t="s">
        <v>185</v>
      </c>
      <c r="D676" s="1" t="s">
        <v>1077</v>
      </c>
      <c r="E676" s="1" t="s">
        <v>1079</v>
      </c>
      <c r="F676" s="1" t="s">
        <v>1080</v>
      </c>
      <c r="G676" s="19">
        <v>6</v>
      </c>
      <c r="H676" s="19">
        <v>45</v>
      </c>
      <c r="I676" s="19">
        <v>22</v>
      </c>
      <c r="J676" s="19">
        <v>32</v>
      </c>
      <c r="K676" s="1" t="s">
        <v>411</v>
      </c>
      <c r="L676" s="2" t="s">
        <v>433</v>
      </c>
      <c r="M676" s="19">
        <v>1997</v>
      </c>
      <c r="N676" s="1" t="s">
        <v>434</v>
      </c>
      <c r="O676" s="19">
        <v>1512</v>
      </c>
      <c r="P676" s="1" t="s">
        <v>18</v>
      </c>
      <c r="Q676" s="19">
        <v>3</v>
      </c>
      <c r="R676" s="19">
        <v>2</v>
      </c>
      <c r="S676" s="19">
        <v>33</v>
      </c>
      <c r="T676" s="14">
        <v>169700</v>
      </c>
      <c r="U676" s="14">
        <v>215000</v>
      </c>
      <c r="V676" s="14">
        <v>90000</v>
      </c>
      <c r="W676" s="4">
        <f t="shared" si="30"/>
        <v>0.26694166175604006</v>
      </c>
      <c r="Z676" s="11">
        <f t="shared" si="31"/>
        <v>0.41860465116279072</v>
      </c>
      <c r="AA676" s="19">
        <f t="shared" si="32"/>
        <v>125000</v>
      </c>
    </row>
    <row r="677" spans="2:27" x14ac:dyDescent="0.45">
      <c r="B677" s="7">
        <v>2054</v>
      </c>
      <c r="C677" s="1" t="s">
        <v>100</v>
      </c>
      <c r="D677" s="1" t="s">
        <v>1107</v>
      </c>
      <c r="E677" s="1" t="s">
        <v>1134</v>
      </c>
      <c r="F677" s="1" t="s">
        <v>1116</v>
      </c>
      <c r="G677" s="19">
        <v>5</v>
      </c>
      <c r="H677" s="19">
        <v>32</v>
      </c>
      <c r="I677" s="19">
        <v>10</v>
      </c>
      <c r="J677" s="19">
        <v>22</v>
      </c>
      <c r="K677" s="1" t="s">
        <v>102</v>
      </c>
      <c r="L677" s="2" t="s">
        <v>453</v>
      </c>
      <c r="M677" s="19">
        <v>2020</v>
      </c>
      <c r="N677" s="1" t="s">
        <v>447</v>
      </c>
      <c r="O677" s="19">
        <v>802</v>
      </c>
      <c r="P677" s="1" t="s">
        <v>18</v>
      </c>
      <c r="Q677" s="19">
        <v>3</v>
      </c>
      <c r="R677" s="19">
        <v>2</v>
      </c>
      <c r="S677" s="19">
        <v>28</v>
      </c>
      <c r="T677" s="14">
        <v>158000</v>
      </c>
      <c r="U677" s="14">
        <v>215000</v>
      </c>
      <c r="V677" s="14">
        <v>100000</v>
      </c>
      <c r="W677" s="4">
        <f t="shared" si="30"/>
        <v>0.36075949367088606</v>
      </c>
      <c r="Z677" s="11">
        <f t="shared" si="31"/>
        <v>0.46511627906976744</v>
      </c>
      <c r="AA677" s="19">
        <f t="shared" si="32"/>
        <v>115000</v>
      </c>
    </row>
    <row r="678" spans="2:27" x14ac:dyDescent="0.45">
      <c r="B678" s="7">
        <v>2095</v>
      </c>
      <c r="C678" s="1" t="s">
        <v>336</v>
      </c>
      <c r="D678" s="1" t="s">
        <v>1137</v>
      </c>
      <c r="E678" s="1" t="s">
        <v>1144</v>
      </c>
      <c r="F678" s="1" t="s">
        <v>1145</v>
      </c>
      <c r="G678" s="19">
        <v>6</v>
      </c>
      <c r="H678" s="19">
        <v>35</v>
      </c>
      <c r="I678" s="19">
        <v>18</v>
      </c>
      <c r="J678" s="19">
        <v>12</v>
      </c>
      <c r="K678" s="1" t="s">
        <v>1146</v>
      </c>
      <c r="L678" s="2" t="s">
        <v>439</v>
      </c>
      <c r="M678" s="19">
        <v>2011</v>
      </c>
      <c r="N678" s="1" t="s">
        <v>447</v>
      </c>
      <c r="O678" s="19">
        <v>867</v>
      </c>
      <c r="P678" s="1" t="s">
        <v>18</v>
      </c>
      <c r="Q678" s="19">
        <v>3</v>
      </c>
      <c r="R678" s="19">
        <v>2</v>
      </c>
      <c r="S678" s="19">
        <v>25</v>
      </c>
      <c r="T678" s="14">
        <v>161500</v>
      </c>
      <c r="U678" s="14">
        <v>215000</v>
      </c>
      <c r="V678" s="14">
        <v>83000</v>
      </c>
      <c r="W678" s="4">
        <f t="shared" si="30"/>
        <v>0.33126934984520123</v>
      </c>
      <c r="Z678" s="11">
        <f t="shared" si="31"/>
        <v>0.38604651162790699</v>
      </c>
      <c r="AA678" s="19">
        <f t="shared" si="32"/>
        <v>132000</v>
      </c>
    </row>
    <row r="679" spans="2:27" x14ac:dyDescent="0.45">
      <c r="B679" s="7">
        <v>1550</v>
      </c>
      <c r="C679" s="1" t="s">
        <v>8</v>
      </c>
      <c r="D679" s="1" t="s">
        <v>964</v>
      </c>
      <c r="E679" s="1" t="s">
        <v>986</v>
      </c>
      <c r="F679" s="1" t="s">
        <v>987</v>
      </c>
      <c r="G679" s="19">
        <v>5</v>
      </c>
      <c r="H679" s="19">
        <v>32</v>
      </c>
      <c r="I679" s="19">
        <v>28</v>
      </c>
      <c r="J679" s="19">
        <v>22</v>
      </c>
      <c r="K679" s="1" t="s">
        <v>163</v>
      </c>
      <c r="L679" s="2" t="s">
        <v>439</v>
      </c>
      <c r="M679" s="19">
        <v>2012</v>
      </c>
      <c r="N679" s="1" t="s">
        <v>447</v>
      </c>
      <c r="O679" s="19">
        <v>847</v>
      </c>
      <c r="P679" s="1" t="s">
        <v>18</v>
      </c>
      <c r="Q679" s="19">
        <v>3</v>
      </c>
      <c r="R679" s="19">
        <v>2</v>
      </c>
      <c r="S679" s="19">
        <v>33</v>
      </c>
      <c r="T679" s="14">
        <v>162500</v>
      </c>
      <c r="U679" s="14">
        <v>217500</v>
      </c>
      <c r="V679" s="14">
        <v>94500</v>
      </c>
      <c r="W679" s="4">
        <f t="shared" si="30"/>
        <v>0.33846153846153848</v>
      </c>
      <c r="Z679" s="11">
        <f t="shared" si="31"/>
        <v>0.43448275862068964</v>
      </c>
      <c r="AA679" s="19">
        <f t="shared" si="32"/>
        <v>123000</v>
      </c>
    </row>
    <row r="680" spans="2:27" x14ac:dyDescent="0.45">
      <c r="B680" s="7">
        <v>1383</v>
      </c>
      <c r="C680" s="1" t="s">
        <v>148</v>
      </c>
      <c r="D680" s="1" t="s">
        <v>929</v>
      </c>
      <c r="E680" s="1" t="s">
        <v>942</v>
      </c>
      <c r="F680" s="1" t="s">
        <v>941</v>
      </c>
      <c r="G680" s="19">
        <v>6</v>
      </c>
      <c r="H680" s="19">
        <v>18</v>
      </c>
      <c r="I680" s="19">
        <v>45</v>
      </c>
      <c r="J680" s="19">
        <v>50</v>
      </c>
      <c r="K680" s="2" t="s">
        <v>265</v>
      </c>
      <c r="L680" s="2" t="s">
        <v>439</v>
      </c>
      <c r="M680" s="19">
        <v>2014</v>
      </c>
      <c r="N680" s="1" t="s">
        <v>447</v>
      </c>
      <c r="O680" s="19">
        <v>547</v>
      </c>
      <c r="P680" s="1" t="s">
        <v>18</v>
      </c>
      <c r="Q680" s="19">
        <v>3</v>
      </c>
      <c r="R680" s="19">
        <v>2</v>
      </c>
      <c r="S680" s="19">
        <v>33</v>
      </c>
      <c r="T680" s="14">
        <v>185000</v>
      </c>
      <c r="U680" s="14">
        <v>219000</v>
      </c>
      <c r="V680" s="14">
        <v>100000</v>
      </c>
      <c r="W680" s="4">
        <f t="shared" si="30"/>
        <v>0.18378378378378379</v>
      </c>
      <c r="Z680" s="11">
        <f t="shared" si="31"/>
        <v>0.45662100456621002</v>
      </c>
      <c r="AA680" s="19">
        <f t="shared" si="32"/>
        <v>119000</v>
      </c>
    </row>
    <row r="681" spans="2:27" x14ac:dyDescent="0.45">
      <c r="B681" s="7">
        <v>1876</v>
      </c>
      <c r="C681" s="1" t="s">
        <v>24</v>
      </c>
      <c r="D681" s="1" t="s">
        <v>1032</v>
      </c>
      <c r="E681" s="1" t="s">
        <v>1074</v>
      </c>
      <c r="F681" s="1" t="s">
        <v>1075</v>
      </c>
      <c r="G681" s="19">
        <v>5</v>
      </c>
      <c r="H681" s="19">
        <v>28</v>
      </c>
      <c r="I681" s="19">
        <v>45</v>
      </c>
      <c r="J681" s="19">
        <v>48</v>
      </c>
      <c r="K681" s="2" t="s">
        <v>25</v>
      </c>
      <c r="L681" s="2" t="s">
        <v>433</v>
      </c>
      <c r="M681" s="19">
        <v>1997</v>
      </c>
      <c r="N681" s="1" t="s">
        <v>434</v>
      </c>
      <c r="O681" s="19">
        <v>2064</v>
      </c>
      <c r="P681" s="1" t="s">
        <v>18</v>
      </c>
      <c r="Q681" s="19">
        <v>3</v>
      </c>
      <c r="R681" s="19">
        <v>2</v>
      </c>
      <c r="S681" s="19">
        <v>33</v>
      </c>
      <c r="T681" s="14">
        <v>170000</v>
      </c>
      <c r="U681" s="14">
        <v>219000</v>
      </c>
      <c r="V681" s="14">
        <v>88000</v>
      </c>
      <c r="W681" s="4">
        <f t="shared" si="30"/>
        <v>0.28823529411764703</v>
      </c>
      <c r="Z681" s="11">
        <f t="shared" si="31"/>
        <v>0.40182648401826482</v>
      </c>
      <c r="AA681" s="19">
        <f t="shared" si="32"/>
        <v>131000</v>
      </c>
    </row>
    <row r="682" spans="2:27" x14ac:dyDescent="0.45">
      <c r="B682" s="7">
        <v>202</v>
      </c>
      <c r="C682" s="1" t="s">
        <v>442</v>
      </c>
      <c r="D682" s="1" t="s">
        <v>436</v>
      </c>
      <c r="E682" s="1" t="s">
        <v>503</v>
      </c>
      <c r="F682" s="1" t="s">
        <v>476</v>
      </c>
      <c r="G682" s="19">
        <v>5</v>
      </c>
      <c r="H682" s="19">
        <v>34</v>
      </c>
      <c r="I682" s="19">
        <v>59</v>
      </c>
      <c r="J682" s="19">
        <v>67</v>
      </c>
      <c r="K682" s="2" t="s">
        <v>504</v>
      </c>
      <c r="L682" s="2" t="s">
        <v>439</v>
      </c>
      <c r="M682" s="19">
        <v>2014</v>
      </c>
      <c r="N682" s="1" t="s">
        <v>447</v>
      </c>
      <c r="O682" s="19">
        <v>716</v>
      </c>
      <c r="P682" s="1" t="s">
        <v>18</v>
      </c>
      <c r="Q682" s="19">
        <v>3</v>
      </c>
      <c r="R682" s="19">
        <v>2</v>
      </c>
      <c r="S682" s="19">
        <v>30</v>
      </c>
      <c r="T682" s="14">
        <v>185000</v>
      </c>
      <c r="U682" s="14">
        <v>220000</v>
      </c>
      <c r="V682" s="14">
        <v>90000</v>
      </c>
      <c r="W682" s="4">
        <f t="shared" si="30"/>
        <v>0.1891891891891892</v>
      </c>
      <c r="Z682" s="11">
        <f t="shared" si="31"/>
        <v>0.40909090909090912</v>
      </c>
      <c r="AA682" s="19">
        <f t="shared" si="32"/>
        <v>130000</v>
      </c>
    </row>
    <row r="683" spans="2:27" x14ac:dyDescent="0.45">
      <c r="B683" s="7">
        <v>240</v>
      </c>
      <c r="C683" s="1" t="s">
        <v>48</v>
      </c>
      <c r="D683" s="1" t="s">
        <v>508</v>
      </c>
      <c r="E683" s="1" t="s">
        <v>523</v>
      </c>
      <c r="F683" s="1" t="s">
        <v>520</v>
      </c>
      <c r="G683" s="19">
        <v>3</v>
      </c>
      <c r="H683" s="19">
        <v>45</v>
      </c>
      <c r="I683" s="19">
        <v>49</v>
      </c>
      <c r="J683" s="19">
        <v>44</v>
      </c>
      <c r="K683" s="1" t="s">
        <v>150</v>
      </c>
      <c r="L683" s="2" t="s">
        <v>453</v>
      </c>
      <c r="M683" s="19">
        <v>2019</v>
      </c>
      <c r="N683" s="1" t="s">
        <v>434</v>
      </c>
      <c r="O683" s="19">
        <v>1900</v>
      </c>
      <c r="P683" s="1" t="s">
        <v>18</v>
      </c>
      <c r="Q683" s="19">
        <v>3</v>
      </c>
      <c r="R683" s="19">
        <v>2</v>
      </c>
      <c r="S683" s="19">
        <v>33</v>
      </c>
      <c r="T683" s="14">
        <v>180000</v>
      </c>
      <c r="U683" s="14">
        <v>220000</v>
      </c>
      <c r="V683" s="14">
        <v>95000</v>
      </c>
      <c r="W683" s="4">
        <f t="shared" si="30"/>
        <v>0.22222222222222221</v>
      </c>
      <c r="Z683" s="11">
        <f t="shared" si="31"/>
        <v>0.43181818181818182</v>
      </c>
      <c r="AA683" s="19">
        <f t="shared" si="32"/>
        <v>125000</v>
      </c>
    </row>
    <row r="684" spans="2:27" x14ac:dyDescent="0.45">
      <c r="B684" s="7">
        <v>464</v>
      </c>
      <c r="C684" s="1" t="s">
        <v>166</v>
      </c>
      <c r="D684" s="1" t="s">
        <v>555</v>
      </c>
      <c r="E684" s="1" t="s">
        <v>580</v>
      </c>
      <c r="F684" s="1" t="s">
        <v>579</v>
      </c>
      <c r="G684" s="19">
        <v>5</v>
      </c>
      <c r="H684" s="19">
        <v>45</v>
      </c>
      <c r="I684" s="19">
        <v>18</v>
      </c>
      <c r="J684" s="19">
        <v>32</v>
      </c>
      <c r="K684" s="2" t="s">
        <v>170</v>
      </c>
      <c r="L684" s="2" t="s">
        <v>439</v>
      </c>
      <c r="M684" s="19">
        <v>2014</v>
      </c>
      <c r="N684" s="1" t="s">
        <v>434</v>
      </c>
      <c r="O684" s="19">
        <v>1004</v>
      </c>
      <c r="P684" s="1" t="s">
        <v>18</v>
      </c>
      <c r="Q684" s="19">
        <v>3</v>
      </c>
      <c r="R684" s="19">
        <v>2</v>
      </c>
      <c r="S684" s="19">
        <v>33</v>
      </c>
      <c r="T684" s="14">
        <v>175500</v>
      </c>
      <c r="U684" s="14">
        <v>220000</v>
      </c>
      <c r="V684" s="14">
        <v>85000</v>
      </c>
      <c r="W684" s="4">
        <f t="shared" si="30"/>
        <v>0.25356125356125359</v>
      </c>
      <c r="Z684" s="11">
        <f t="shared" si="31"/>
        <v>0.38636363636363635</v>
      </c>
      <c r="AA684" s="19">
        <f t="shared" si="32"/>
        <v>135000</v>
      </c>
    </row>
    <row r="685" spans="2:27" x14ac:dyDescent="0.45">
      <c r="B685" s="7">
        <v>614</v>
      </c>
      <c r="C685" s="1" t="s">
        <v>72</v>
      </c>
      <c r="D685" s="1" t="s">
        <v>626</v>
      </c>
      <c r="E685" s="1" t="s">
        <v>627</v>
      </c>
      <c r="F685" s="1" t="s">
        <v>628</v>
      </c>
      <c r="G685" s="19">
        <v>5</v>
      </c>
      <c r="H685" s="19">
        <v>25</v>
      </c>
      <c r="I685" s="19">
        <v>42</v>
      </c>
      <c r="J685" s="19">
        <v>38</v>
      </c>
      <c r="K685" s="1" t="s">
        <v>629</v>
      </c>
      <c r="L685" s="2" t="s">
        <v>433</v>
      </c>
      <c r="M685" s="19">
        <v>1997</v>
      </c>
      <c r="N685" s="1" t="s">
        <v>434</v>
      </c>
      <c r="O685" s="19">
        <v>1592</v>
      </c>
      <c r="P685" s="1" t="s">
        <v>18</v>
      </c>
      <c r="Q685" s="19">
        <v>3</v>
      </c>
      <c r="R685" s="19">
        <v>2</v>
      </c>
      <c r="S685" s="19">
        <v>33</v>
      </c>
      <c r="T685" s="14">
        <v>172000</v>
      </c>
      <c r="U685" s="14">
        <v>220000</v>
      </c>
      <c r="V685" s="14">
        <v>83000</v>
      </c>
      <c r="W685" s="4">
        <f t="shared" si="30"/>
        <v>0.27906976744186046</v>
      </c>
      <c r="Z685" s="11">
        <f t="shared" si="31"/>
        <v>0.37727272727272726</v>
      </c>
      <c r="AA685" s="19">
        <f t="shared" si="32"/>
        <v>137000</v>
      </c>
    </row>
    <row r="686" spans="2:27" x14ac:dyDescent="0.45">
      <c r="B686" s="7">
        <v>656</v>
      </c>
      <c r="C686" s="1" t="s">
        <v>62</v>
      </c>
      <c r="D686" s="1" t="s">
        <v>626</v>
      </c>
      <c r="E686" s="1" t="s">
        <v>646</v>
      </c>
      <c r="F686" s="1" t="s">
        <v>643</v>
      </c>
      <c r="G686" s="19">
        <v>5</v>
      </c>
      <c r="H686" s="19">
        <v>33</v>
      </c>
      <c r="I686" s="19">
        <v>49</v>
      </c>
      <c r="J686" s="19">
        <v>39</v>
      </c>
      <c r="K686" s="1" t="s">
        <v>65</v>
      </c>
      <c r="L686" s="2" t="s">
        <v>433</v>
      </c>
      <c r="M686" s="19">
        <v>1999</v>
      </c>
      <c r="N686" s="1" t="s">
        <v>440</v>
      </c>
      <c r="O686" s="19">
        <v>437</v>
      </c>
      <c r="P686" s="1" t="s">
        <v>18</v>
      </c>
      <c r="Q686" s="19">
        <v>3</v>
      </c>
      <c r="R686" s="19">
        <v>2</v>
      </c>
      <c r="S686" s="19">
        <v>33</v>
      </c>
      <c r="T686" s="14">
        <v>169000</v>
      </c>
      <c r="U686" s="14">
        <v>220000</v>
      </c>
      <c r="V686" s="14">
        <v>90000</v>
      </c>
      <c r="W686" s="4">
        <f t="shared" si="30"/>
        <v>0.30177514792899407</v>
      </c>
      <c r="Z686" s="11">
        <f t="shared" si="31"/>
        <v>0.40909090909090912</v>
      </c>
      <c r="AA686" s="19">
        <f t="shared" si="32"/>
        <v>130000</v>
      </c>
    </row>
    <row r="687" spans="2:27" x14ac:dyDescent="0.45">
      <c r="B687" s="7">
        <v>1013</v>
      </c>
      <c r="C687" s="1" t="s">
        <v>14</v>
      </c>
      <c r="D687" s="1" t="s">
        <v>816</v>
      </c>
      <c r="E687" s="1" t="s">
        <v>839</v>
      </c>
      <c r="F687" s="1" t="s">
        <v>818</v>
      </c>
      <c r="G687" s="19">
        <v>7</v>
      </c>
      <c r="H687" s="19">
        <v>18</v>
      </c>
      <c r="I687" s="19">
        <v>24</v>
      </c>
      <c r="J687" s="19">
        <v>32</v>
      </c>
      <c r="K687" s="2" t="s">
        <v>253</v>
      </c>
      <c r="L687" s="2" t="s">
        <v>453</v>
      </c>
      <c r="M687" s="19">
        <v>2016</v>
      </c>
      <c r="N687" s="1" t="s">
        <v>440</v>
      </c>
      <c r="O687" s="19">
        <v>471</v>
      </c>
      <c r="P687" s="1" t="s">
        <v>18</v>
      </c>
      <c r="Q687" s="19">
        <v>3</v>
      </c>
      <c r="R687" s="19">
        <v>2</v>
      </c>
      <c r="S687" s="19">
        <v>24</v>
      </c>
      <c r="T687" s="14">
        <v>0</v>
      </c>
      <c r="U687" s="14">
        <v>220000</v>
      </c>
      <c r="V687" s="14">
        <v>72000</v>
      </c>
      <c r="W687" s="4" t="e">
        <f t="shared" si="30"/>
        <v>#DIV/0!</v>
      </c>
      <c r="Z687" s="11">
        <f t="shared" si="31"/>
        <v>0.32727272727272727</v>
      </c>
      <c r="AA687" s="19">
        <f t="shared" si="32"/>
        <v>148000</v>
      </c>
    </row>
    <row r="688" spans="2:27" x14ac:dyDescent="0.45">
      <c r="B688" s="7">
        <v>1168</v>
      </c>
      <c r="C688" s="1" t="s">
        <v>10</v>
      </c>
      <c r="D688" s="1" t="s">
        <v>866</v>
      </c>
      <c r="E688" s="1" t="s">
        <v>879</v>
      </c>
      <c r="F688" s="1" t="s">
        <v>878</v>
      </c>
      <c r="G688" s="19">
        <v>5</v>
      </c>
      <c r="H688" s="19">
        <v>38</v>
      </c>
      <c r="I688" s="19">
        <v>15</v>
      </c>
      <c r="J688" s="19">
        <v>15</v>
      </c>
      <c r="K688" s="1" t="s">
        <v>238</v>
      </c>
      <c r="L688" s="2" t="s">
        <v>439</v>
      </c>
      <c r="M688" s="19">
        <v>2004</v>
      </c>
      <c r="N688" s="1" t="s">
        <v>447</v>
      </c>
      <c r="O688" s="19">
        <v>683</v>
      </c>
      <c r="P688" s="1" t="s">
        <v>18</v>
      </c>
      <c r="Q688" s="19">
        <v>3</v>
      </c>
      <c r="R688" s="19">
        <v>2</v>
      </c>
      <c r="S688" s="19">
        <v>33</v>
      </c>
      <c r="T688" s="14">
        <v>164000</v>
      </c>
      <c r="U688" s="14">
        <v>220000</v>
      </c>
      <c r="V688" s="14">
        <v>73000</v>
      </c>
      <c r="W688" s="4">
        <f t="shared" si="30"/>
        <v>0.34146341463414637</v>
      </c>
      <c r="Z688" s="11">
        <f t="shared" si="31"/>
        <v>0.33181818181818185</v>
      </c>
      <c r="AA688" s="19">
        <f t="shared" si="32"/>
        <v>147000</v>
      </c>
    </row>
    <row r="689" spans="2:27" x14ac:dyDescent="0.45">
      <c r="B689" s="7">
        <v>1194</v>
      </c>
      <c r="C689" s="1" t="s">
        <v>869</v>
      </c>
      <c r="D689" s="1" t="s">
        <v>866</v>
      </c>
      <c r="E689" s="1" t="s">
        <v>890</v>
      </c>
      <c r="F689" s="1" t="s">
        <v>889</v>
      </c>
      <c r="G689" s="19">
        <v>5</v>
      </c>
      <c r="H689" s="19">
        <v>38</v>
      </c>
      <c r="I689" s="19">
        <v>15</v>
      </c>
      <c r="J689" s="19">
        <v>20</v>
      </c>
      <c r="K689" s="1" t="s">
        <v>174</v>
      </c>
      <c r="L689" s="2" t="s">
        <v>433</v>
      </c>
      <c r="M689" s="19">
        <v>1997</v>
      </c>
      <c r="N689" s="1" t="s">
        <v>447</v>
      </c>
      <c r="O689" s="19">
        <v>982</v>
      </c>
      <c r="P689" s="1" t="s">
        <v>18</v>
      </c>
      <c r="Q689" s="19">
        <v>3</v>
      </c>
      <c r="R689" s="19">
        <v>2</v>
      </c>
      <c r="S689" s="19">
        <v>31</v>
      </c>
      <c r="T689" s="14">
        <v>165000</v>
      </c>
      <c r="U689" s="14">
        <v>220000</v>
      </c>
      <c r="V689" s="14">
        <v>78000</v>
      </c>
      <c r="W689" s="4">
        <f t="shared" si="30"/>
        <v>0.33333333333333331</v>
      </c>
      <c r="Z689" s="11">
        <f t="shared" si="31"/>
        <v>0.35454545454545455</v>
      </c>
      <c r="AA689" s="19">
        <f t="shared" si="32"/>
        <v>142000</v>
      </c>
    </row>
    <row r="690" spans="2:27" x14ac:dyDescent="0.45">
      <c r="B690" s="7">
        <v>1322</v>
      </c>
      <c r="C690" s="1" t="s">
        <v>0</v>
      </c>
      <c r="D690" s="1" t="s">
        <v>899</v>
      </c>
      <c r="E690" s="1" t="s">
        <v>912</v>
      </c>
      <c r="F690" s="1" t="s">
        <v>900</v>
      </c>
      <c r="G690" s="19">
        <v>5</v>
      </c>
      <c r="H690" s="19">
        <v>42</v>
      </c>
      <c r="I690" s="19">
        <v>25</v>
      </c>
      <c r="J690" s="19">
        <v>12</v>
      </c>
      <c r="K690" s="1" t="s">
        <v>17</v>
      </c>
      <c r="L690" s="2" t="s">
        <v>453</v>
      </c>
      <c r="M690" s="19">
        <v>2018</v>
      </c>
      <c r="N690" s="1" t="s">
        <v>434</v>
      </c>
      <c r="O690" s="19">
        <v>1910</v>
      </c>
      <c r="P690" s="1" t="s">
        <v>18</v>
      </c>
      <c r="Q690" s="19">
        <v>3</v>
      </c>
      <c r="R690" s="19">
        <v>2</v>
      </c>
      <c r="S690" s="19">
        <v>33</v>
      </c>
      <c r="T690" s="14">
        <v>180000</v>
      </c>
      <c r="U690" s="14">
        <v>220000</v>
      </c>
      <c r="V690" s="14">
        <v>92000</v>
      </c>
      <c r="W690" s="4">
        <f t="shared" si="30"/>
        <v>0.22222222222222221</v>
      </c>
      <c r="Z690" s="11">
        <f t="shared" si="31"/>
        <v>0.41818181818181815</v>
      </c>
      <c r="AA690" s="19">
        <f t="shared" si="32"/>
        <v>128000</v>
      </c>
    </row>
    <row r="691" spans="2:27" x14ac:dyDescent="0.45">
      <c r="B691" s="7">
        <v>1588</v>
      </c>
      <c r="C691" s="1" t="s">
        <v>8</v>
      </c>
      <c r="D691" s="1" t="s">
        <v>964</v>
      </c>
      <c r="E691" s="1" t="s">
        <v>979</v>
      </c>
      <c r="F691" s="1" t="s">
        <v>980</v>
      </c>
      <c r="G691" s="19">
        <v>5</v>
      </c>
      <c r="H691" s="19">
        <v>32</v>
      </c>
      <c r="I691" s="19">
        <v>25</v>
      </c>
      <c r="J691" s="19">
        <v>18</v>
      </c>
      <c r="K691" s="1" t="s">
        <v>9</v>
      </c>
      <c r="L691" s="2" t="s">
        <v>453</v>
      </c>
      <c r="M691" s="19">
        <v>2019</v>
      </c>
      <c r="N691" s="1" t="s">
        <v>434</v>
      </c>
      <c r="O691" s="19">
        <v>1193</v>
      </c>
      <c r="P691" s="1" t="s">
        <v>18</v>
      </c>
      <c r="Q691" s="19">
        <v>3</v>
      </c>
      <c r="R691" s="19">
        <v>2</v>
      </c>
      <c r="S691" s="19">
        <v>25</v>
      </c>
      <c r="T691" s="14">
        <v>152900</v>
      </c>
      <c r="U691" s="14">
        <v>220000</v>
      </c>
      <c r="V691" s="14">
        <v>78500</v>
      </c>
      <c r="W691" s="4">
        <f t="shared" si="30"/>
        <v>0.43884892086330934</v>
      </c>
      <c r="Z691" s="11">
        <f t="shared" si="31"/>
        <v>0.35681818181818181</v>
      </c>
      <c r="AA691" s="19">
        <f t="shared" si="32"/>
        <v>141500</v>
      </c>
    </row>
    <row r="692" spans="2:27" x14ac:dyDescent="0.45">
      <c r="B692" s="7">
        <v>1915</v>
      </c>
      <c r="C692" s="1" t="s">
        <v>185</v>
      </c>
      <c r="D692" s="1" t="s">
        <v>1077</v>
      </c>
      <c r="E692" s="1" t="s">
        <v>1090</v>
      </c>
      <c r="F692" s="1" t="s">
        <v>1080</v>
      </c>
      <c r="G692" s="19">
        <v>8</v>
      </c>
      <c r="H692" s="19">
        <v>45</v>
      </c>
      <c r="I692" s="19">
        <v>25</v>
      </c>
      <c r="J692" s="19">
        <v>35</v>
      </c>
      <c r="K692" s="1" t="s">
        <v>1091</v>
      </c>
      <c r="L692" s="2" t="s">
        <v>439</v>
      </c>
      <c r="M692" s="19">
        <v>2002</v>
      </c>
      <c r="N692" s="1" t="s">
        <v>447</v>
      </c>
      <c r="O692" s="19">
        <v>590</v>
      </c>
      <c r="P692" s="1" t="s">
        <v>18</v>
      </c>
      <c r="Q692" s="19">
        <v>3</v>
      </c>
      <c r="R692" s="19">
        <v>2</v>
      </c>
      <c r="S692" s="19">
        <v>33</v>
      </c>
      <c r="T692" s="14">
        <v>165000</v>
      </c>
      <c r="U692" s="14">
        <v>220000</v>
      </c>
      <c r="V692" s="14">
        <v>100000</v>
      </c>
      <c r="W692" s="4">
        <f t="shared" si="30"/>
        <v>0.33333333333333331</v>
      </c>
      <c r="Z692" s="11">
        <f t="shared" si="31"/>
        <v>0.45454545454545453</v>
      </c>
      <c r="AA692" s="19">
        <f t="shared" si="32"/>
        <v>120000</v>
      </c>
    </row>
    <row r="693" spans="2:27" x14ac:dyDescent="0.45">
      <c r="B693" s="7">
        <v>1938</v>
      </c>
      <c r="C693" s="1" t="s">
        <v>185</v>
      </c>
      <c r="D693" s="1" t="s">
        <v>1077</v>
      </c>
      <c r="E693" s="1" t="s">
        <v>1097</v>
      </c>
      <c r="F693" s="1" t="s">
        <v>1098</v>
      </c>
      <c r="G693" s="19">
        <v>5</v>
      </c>
      <c r="H693" s="19">
        <v>45</v>
      </c>
      <c r="I693" s="19">
        <v>25</v>
      </c>
      <c r="J693" s="19">
        <v>32</v>
      </c>
      <c r="K693" s="1" t="s">
        <v>192</v>
      </c>
      <c r="L693" s="2" t="s">
        <v>433</v>
      </c>
      <c r="M693" s="19">
        <v>1997</v>
      </c>
      <c r="N693" s="1" t="s">
        <v>440</v>
      </c>
      <c r="O693" s="19">
        <v>242</v>
      </c>
      <c r="P693" s="1" t="s">
        <v>18</v>
      </c>
      <c r="Q693" s="19">
        <v>3</v>
      </c>
      <c r="R693" s="19">
        <v>2</v>
      </c>
      <c r="S693" s="19">
        <v>33</v>
      </c>
      <c r="T693" s="14">
        <v>165700</v>
      </c>
      <c r="U693" s="14">
        <v>220000</v>
      </c>
      <c r="V693" s="14">
        <v>100000</v>
      </c>
      <c r="W693" s="4">
        <f t="shared" si="30"/>
        <v>0.32770066385033192</v>
      </c>
      <c r="Z693" s="11">
        <f t="shared" si="31"/>
        <v>0.45454545454545453</v>
      </c>
      <c r="AA693" s="19">
        <f t="shared" si="32"/>
        <v>120000</v>
      </c>
    </row>
    <row r="694" spans="2:27" x14ac:dyDescent="0.45">
      <c r="B694" s="7">
        <v>2056</v>
      </c>
      <c r="C694" s="1" t="s">
        <v>100</v>
      </c>
      <c r="D694" s="1" t="s">
        <v>1107</v>
      </c>
      <c r="E694" s="1" t="s">
        <v>1133</v>
      </c>
      <c r="F694" s="1" t="s">
        <v>1116</v>
      </c>
      <c r="G694" s="19">
        <v>4</v>
      </c>
      <c r="H694" s="19">
        <v>32</v>
      </c>
      <c r="I694" s="19">
        <v>10</v>
      </c>
      <c r="J694" s="19">
        <v>22</v>
      </c>
      <c r="K694" s="1" t="s">
        <v>101</v>
      </c>
      <c r="L694" s="2" t="s">
        <v>439</v>
      </c>
      <c r="M694" s="19">
        <v>2003</v>
      </c>
      <c r="N694" s="1" t="s">
        <v>434</v>
      </c>
      <c r="O694" s="19">
        <v>1391</v>
      </c>
      <c r="P694" s="1" t="s">
        <v>18</v>
      </c>
      <c r="Q694" s="19">
        <v>3</v>
      </c>
      <c r="R694" s="19">
        <v>2</v>
      </c>
      <c r="S694" s="19">
        <v>33</v>
      </c>
      <c r="T694" s="14">
        <v>173000</v>
      </c>
      <c r="U694" s="14">
        <v>220000</v>
      </c>
      <c r="V694" s="14">
        <v>100000</v>
      </c>
      <c r="W694" s="4">
        <f t="shared" si="30"/>
        <v>0.27167630057803466</v>
      </c>
      <c r="Z694" s="11">
        <f t="shared" si="31"/>
        <v>0.45454545454545453</v>
      </c>
      <c r="AA694" s="19">
        <f t="shared" si="32"/>
        <v>120000</v>
      </c>
    </row>
    <row r="695" spans="2:27" x14ac:dyDescent="0.45">
      <c r="B695" s="7">
        <v>1526</v>
      </c>
      <c r="C695" s="1" t="s">
        <v>19</v>
      </c>
      <c r="D695" s="1" t="s">
        <v>964</v>
      </c>
      <c r="E695" s="1" t="s">
        <v>983</v>
      </c>
      <c r="F695" s="1" t="s">
        <v>640</v>
      </c>
      <c r="G695" s="19">
        <v>4</v>
      </c>
      <c r="H695" s="19">
        <v>25</v>
      </c>
      <c r="I695" s="19">
        <v>35</v>
      </c>
      <c r="J695" s="19">
        <v>30</v>
      </c>
      <c r="K695" s="1" t="s">
        <v>270</v>
      </c>
      <c r="L695" s="2" t="s">
        <v>433</v>
      </c>
      <c r="M695" s="19">
        <v>1997</v>
      </c>
      <c r="N695" s="1" t="s">
        <v>447</v>
      </c>
      <c r="O695" s="19">
        <v>777</v>
      </c>
      <c r="P695" s="1" t="s">
        <v>18</v>
      </c>
      <c r="Q695" s="19">
        <v>3</v>
      </c>
      <c r="R695" s="19">
        <v>2</v>
      </c>
      <c r="S695" s="19">
        <v>33</v>
      </c>
      <c r="T695" s="14">
        <v>150000</v>
      </c>
      <c r="U695" s="14">
        <v>224000</v>
      </c>
      <c r="V695" s="14">
        <v>80000</v>
      </c>
      <c r="W695" s="4">
        <f t="shared" si="30"/>
        <v>0.49333333333333335</v>
      </c>
      <c r="Z695" s="11">
        <f t="shared" si="31"/>
        <v>0.35714285714285715</v>
      </c>
      <c r="AA695" s="19">
        <f t="shared" si="32"/>
        <v>144000</v>
      </c>
    </row>
    <row r="696" spans="2:27" x14ac:dyDescent="0.45">
      <c r="B696" s="7">
        <v>652</v>
      </c>
      <c r="C696" s="1" t="s">
        <v>62</v>
      </c>
      <c r="D696" s="1" t="s">
        <v>626</v>
      </c>
      <c r="E696" s="1" t="s">
        <v>642</v>
      </c>
      <c r="F696" s="1" t="s">
        <v>643</v>
      </c>
      <c r="G696" s="19">
        <v>4</v>
      </c>
      <c r="H696" s="19">
        <v>32</v>
      </c>
      <c r="I696" s="19">
        <v>48</v>
      </c>
      <c r="J696" s="19">
        <v>38</v>
      </c>
      <c r="K696" s="1" t="s">
        <v>67</v>
      </c>
      <c r="L696" s="2" t="s">
        <v>439</v>
      </c>
      <c r="M696" s="19">
        <v>2012</v>
      </c>
      <c r="N696" s="1" t="s">
        <v>440</v>
      </c>
      <c r="O696" s="19">
        <v>453</v>
      </c>
      <c r="P696" s="1" t="s">
        <v>18</v>
      </c>
      <c r="Q696" s="19">
        <v>3</v>
      </c>
      <c r="R696" s="19">
        <v>2</v>
      </c>
      <c r="S696" s="19">
        <v>25</v>
      </c>
      <c r="T696" s="14">
        <v>180000</v>
      </c>
      <c r="U696" s="14">
        <v>224500</v>
      </c>
      <c r="V696" s="14">
        <v>125000</v>
      </c>
      <c r="W696" s="4">
        <f t="shared" si="30"/>
        <v>0.24722222222222223</v>
      </c>
      <c r="Z696" s="11">
        <f t="shared" si="31"/>
        <v>0.55679287305122493</v>
      </c>
      <c r="AA696" s="19">
        <f t="shared" si="32"/>
        <v>99500</v>
      </c>
    </row>
    <row r="697" spans="2:27" x14ac:dyDescent="0.45">
      <c r="B697" s="7">
        <v>178</v>
      </c>
      <c r="C697" s="1" t="s">
        <v>441</v>
      </c>
      <c r="D697" s="1" t="s">
        <v>436</v>
      </c>
      <c r="E697" s="1" t="s">
        <v>500</v>
      </c>
      <c r="F697" s="1" t="s">
        <v>499</v>
      </c>
      <c r="G697" s="19">
        <v>5</v>
      </c>
      <c r="H697" s="19">
        <v>25</v>
      </c>
      <c r="I697" s="19">
        <v>45</v>
      </c>
      <c r="J697" s="19">
        <v>55</v>
      </c>
      <c r="K697" s="2" t="s">
        <v>501</v>
      </c>
      <c r="L697" s="2" t="s">
        <v>433</v>
      </c>
      <c r="M697" s="19">
        <v>1992</v>
      </c>
      <c r="N697" s="1" t="s">
        <v>434</v>
      </c>
      <c r="O697" s="19">
        <v>1758</v>
      </c>
      <c r="P697" s="1" t="s">
        <v>5</v>
      </c>
      <c r="Q697" s="19">
        <v>2</v>
      </c>
      <c r="R697" s="19">
        <v>1</v>
      </c>
      <c r="S697" s="19">
        <v>21</v>
      </c>
      <c r="T697" s="14">
        <v>168000</v>
      </c>
      <c r="U697" s="14">
        <v>225000</v>
      </c>
      <c r="V697" s="14">
        <v>63000</v>
      </c>
      <c r="W697" s="4">
        <f t="shared" si="30"/>
        <v>0.3392857142857143</v>
      </c>
      <c r="Z697" s="11">
        <f t="shared" si="31"/>
        <v>0.28000000000000003</v>
      </c>
      <c r="AA697" s="19">
        <f t="shared" si="32"/>
        <v>162000</v>
      </c>
    </row>
    <row r="698" spans="2:27" x14ac:dyDescent="0.45">
      <c r="B698" s="7">
        <v>2091</v>
      </c>
      <c r="C698" s="1" t="s">
        <v>336</v>
      </c>
      <c r="D698" s="1" t="s">
        <v>1137</v>
      </c>
      <c r="E698" s="1" t="s">
        <v>1142</v>
      </c>
      <c r="F698" s="1" t="s">
        <v>987</v>
      </c>
      <c r="G698" s="19">
        <v>4</v>
      </c>
      <c r="H698" s="19">
        <v>35</v>
      </c>
      <c r="I698" s="19">
        <v>15</v>
      </c>
      <c r="J698" s="19">
        <v>15</v>
      </c>
      <c r="K698" s="1" t="s">
        <v>337</v>
      </c>
      <c r="L698" s="2" t="s">
        <v>453</v>
      </c>
      <c r="M698" s="19">
        <v>2019</v>
      </c>
      <c r="N698" s="1" t="s">
        <v>440</v>
      </c>
      <c r="O698" s="19">
        <v>478</v>
      </c>
      <c r="P698" s="1" t="s">
        <v>18</v>
      </c>
      <c r="Q698" s="19">
        <v>3</v>
      </c>
      <c r="R698" s="19">
        <v>2</v>
      </c>
      <c r="S698" s="19">
        <v>25</v>
      </c>
      <c r="T698" s="14">
        <v>160000</v>
      </c>
      <c r="U698" s="14">
        <v>225000</v>
      </c>
      <c r="V698" s="14">
        <v>85000</v>
      </c>
      <c r="W698" s="4">
        <f t="shared" si="30"/>
        <v>0.40625</v>
      </c>
      <c r="Z698" s="11">
        <f t="shared" si="31"/>
        <v>0.37777777777777777</v>
      </c>
      <c r="AA698" s="19">
        <f t="shared" si="32"/>
        <v>140000</v>
      </c>
    </row>
    <row r="699" spans="2:27" x14ac:dyDescent="0.45">
      <c r="B699" s="7">
        <v>203</v>
      </c>
      <c r="C699" s="1" t="s">
        <v>442</v>
      </c>
      <c r="D699" s="1" t="s">
        <v>436</v>
      </c>
      <c r="E699" s="1" t="s">
        <v>503</v>
      </c>
      <c r="F699" s="1" t="s">
        <v>476</v>
      </c>
      <c r="G699" s="19">
        <v>5</v>
      </c>
      <c r="H699" s="19">
        <v>34</v>
      </c>
      <c r="I699" s="19">
        <v>59</v>
      </c>
      <c r="J699" s="19">
        <v>67</v>
      </c>
      <c r="K699" s="2" t="s">
        <v>504</v>
      </c>
      <c r="L699" s="2" t="s">
        <v>439</v>
      </c>
      <c r="M699" s="19">
        <v>2014</v>
      </c>
      <c r="N699" s="1" t="s">
        <v>447</v>
      </c>
      <c r="O699" s="19">
        <v>716</v>
      </c>
      <c r="P699" s="1" t="s">
        <v>18</v>
      </c>
      <c r="Q699" s="19">
        <v>3</v>
      </c>
      <c r="R699" s="19">
        <v>2</v>
      </c>
      <c r="S699" s="19">
        <v>33</v>
      </c>
      <c r="T699" s="14">
        <v>182000</v>
      </c>
      <c r="U699" s="14">
        <v>230000</v>
      </c>
      <c r="V699" s="14">
        <v>100000</v>
      </c>
      <c r="W699" s="4">
        <f t="shared" si="30"/>
        <v>0.26373626373626374</v>
      </c>
      <c r="Z699" s="11">
        <f t="shared" si="31"/>
        <v>0.43478260869565216</v>
      </c>
      <c r="AA699" s="19">
        <f t="shared" si="32"/>
        <v>130000</v>
      </c>
    </row>
    <row r="700" spans="2:27" x14ac:dyDescent="0.45">
      <c r="B700" s="7">
        <v>280</v>
      </c>
      <c r="C700" s="1" t="s">
        <v>48</v>
      </c>
      <c r="D700" s="1" t="s">
        <v>508</v>
      </c>
      <c r="E700" s="1" t="s">
        <v>537</v>
      </c>
      <c r="F700" s="1" t="s">
        <v>538</v>
      </c>
      <c r="G700" s="19">
        <v>4</v>
      </c>
      <c r="H700" s="19">
        <v>53</v>
      </c>
      <c r="I700" s="19">
        <v>58</v>
      </c>
      <c r="J700" s="19">
        <v>52</v>
      </c>
      <c r="K700" s="1" t="s">
        <v>49</v>
      </c>
      <c r="L700" s="2" t="s">
        <v>453</v>
      </c>
      <c r="M700" s="19">
        <v>2019</v>
      </c>
      <c r="N700" s="1" t="s">
        <v>434</v>
      </c>
      <c r="O700" s="19">
        <v>4932</v>
      </c>
      <c r="P700" s="1" t="s">
        <v>18</v>
      </c>
      <c r="Q700" s="19">
        <v>3</v>
      </c>
      <c r="R700" s="19">
        <v>2</v>
      </c>
      <c r="S700" s="19">
        <v>30</v>
      </c>
      <c r="T700" s="14">
        <v>166000</v>
      </c>
      <c r="U700" s="14">
        <v>230000</v>
      </c>
      <c r="V700" s="14">
        <v>85000</v>
      </c>
      <c r="W700" s="4">
        <f t="shared" si="30"/>
        <v>0.38554216867469882</v>
      </c>
      <c r="Z700" s="11">
        <f t="shared" si="31"/>
        <v>0.36956521739130432</v>
      </c>
      <c r="AA700" s="19">
        <f t="shared" si="32"/>
        <v>145000</v>
      </c>
    </row>
    <row r="701" spans="2:27" x14ac:dyDescent="0.45">
      <c r="B701" s="7">
        <v>288</v>
      </c>
      <c r="C701" s="1" t="s">
        <v>6</v>
      </c>
      <c r="D701" s="1" t="s">
        <v>508</v>
      </c>
      <c r="E701" s="1" t="s">
        <v>539</v>
      </c>
      <c r="F701" s="1" t="s">
        <v>540</v>
      </c>
      <c r="G701" s="19">
        <v>5</v>
      </c>
      <c r="H701" s="19">
        <v>42</v>
      </c>
      <c r="I701" s="19">
        <v>52</v>
      </c>
      <c r="J701" s="19">
        <v>50</v>
      </c>
      <c r="K701" s="1" t="s">
        <v>28</v>
      </c>
      <c r="L701" s="2" t="s">
        <v>453</v>
      </c>
      <c r="M701" s="19">
        <v>2024</v>
      </c>
      <c r="N701" s="1" t="s">
        <v>434</v>
      </c>
      <c r="O701" s="19">
        <v>1299</v>
      </c>
      <c r="P701" s="1" t="s">
        <v>18</v>
      </c>
      <c r="Q701" s="19">
        <v>3</v>
      </c>
      <c r="R701" s="19">
        <v>2</v>
      </c>
      <c r="S701" s="19">
        <v>33</v>
      </c>
      <c r="T701" s="14">
        <v>0</v>
      </c>
      <c r="U701" s="14">
        <v>230000</v>
      </c>
      <c r="V701" s="14">
        <v>85000</v>
      </c>
      <c r="W701" s="4" t="e">
        <f t="shared" si="30"/>
        <v>#DIV/0!</v>
      </c>
      <c r="Z701" s="11">
        <f t="shared" si="31"/>
        <v>0.36956521739130432</v>
      </c>
      <c r="AA701" s="19">
        <f t="shared" si="32"/>
        <v>145000</v>
      </c>
    </row>
    <row r="702" spans="2:27" x14ac:dyDescent="0.45">
      <c r="B702" s="7">
        <v>1012</v>
      </c>
      <c r="C702" s="1" t="s">
        <v>14</v>
      </c>
      <c r="D702" s="1" t="s">
        <v>816</v>
      </c>
      <c r="E702" s="1" t="s">
        <v>839</v>
      </c>
      <c r="F702" s="1" t="s">
        <v>840</v>
      </c>
      <c r="G702" s="19">
        <v>7</v>
      </c>
      <c r="H702" s="19">
        <v>18</v>
      </c>
      <c r="I702" s="19">
        <v>24</v>
      </c>
      <c r="J702" s="19">
        <v>32</v>
      </c>
      <c r="K702" s="2" t="s">
        <v>253</v>
      </c>
      <c r="L702" s="2" t="s">
        <v>453</v>
      </c>
      <c r="M702" s="19">
        <v>2016</v>
      </c>
      <c r="N702" s="1" t="s">
        <v>440</v>
      </c>
      <c r="O702" s="19">
        <v>471</v>
      </c>
      <c r="P702" s="1" t="s">
        <v>18</v>
      </c>
      <c r="Q702" s="19">
        <v>3</v>
      </c>
      <c r="R702" s="19">
        <v>2</v>
      </c>
      <c r="S702" s="19">
        <v>34</v>
      </c>
      <c r="T702" s="14">
        <v>171000</v>
      </c>
      <c r="U702" s="14">
        <v>230000</v>
      </c>
      <c r="V702" s="14">
        <v>88000</v>
      </c>
      <c r="W702" s="4">
        <f t="shared" si="30"/>
        <v>0.34502923976608185</v>
      </c>
      <c r="Z702" s="11">
        <f t="shared" si="31"/>
        <v>0.38260869565217392</v>
      </c>
      <c r="AA702" s="19">
        <f t="shared" si="32"/>
        <v>142000</v>
      </c>
    </row>
    <row r="703" spans="2:27" x14ac:dyDescent="0.45">
      <c r="B703" s="7">
        <v>1120</v>
      </c>
      <c r="C703" s="1" t="s">
        <v>14</v>
      </c>
      <c r="D703" s="1" t="s">
        <v>816</v>
      </c>
      <c r="E703" s="1" t="s">
        <v>864</v>
      </c>
      <c r="F703" s="1" t="s">
        <v>842</v>
      </c>
      <c r="G703" s="19">
        <v>5</v>
      </c>
      <c r="H703" s="19">
        <v>28</v>
      </c>
      <c r="I703" s="19">
        <v>15</v>
      </c>
      <c r="J703" s="19">
        <v>32</v>
      </c>
      <c r="K703" s="2" t="s">
        <v>865</v>
      </c>
      <c r="L703" s="2" t="s">
        <v>453</v>
      </c>
      <c r="M703" s="19">
        <v>2018</v>
      </c>
      <c r="N703" s="1" t="s">
        <v>447</v>
      </c>
      <c r="O703" s="19">
        <v>893</v>
      </c>
      <c r="P703" s="1" t="s">
        <v>18</v>
      </c>
      <c r="Q703" s="19">
        <v>3</v>
      </c>
      <c r="R703" s="19">
        <v>2</v>
      </c>
      <c r="S703" s="19">
        <v>34</v>
      </c>
      <c r="T703" s="14">
        <v>173000</v>
      </c>
      <c r="U703" s="14">
        <v>230000</v>
      </c>
      <c r="V703" s="14">
        <v>100000</v>
      </c>
      <c r="W703" s="4">
        <f t="shared" si="30"/>
        <v>0.32947976878612717</v>
      </c>
      <c r="Z703" s="11">
        <f t="shared" si="31"/>
        <v>0.43478260869565216</v>
      </c>
      <c r="AA703" s="19">
        <f t="shared" si="32"/>
        <v>130000</v>
      </c>
    </row>
    <row r="704" spans="2:27" x14ac:dyDescent="0.45">
      <c r="B704" s="7">
        <v>1204</v>
      </c>
      <c r="C704" s="1" t="s">
        <v>31</v>
      </c>
      <c r="D704" s="1" t="s">
        <v>866</v>
      </c>
      <c r="E704" s="1" t="s">
        <v>891</v>
      </c>
      <c r="F704" s="1" t="s">
        <v>867</v>
      </c>
      <c r="G704" s="19">
        <v>4</v>
      </c>
      <c r="H704" s="19">
        <v>45</v>
      </c>
      <c r="I704" s="19">
        <v>15</v>
      </c>
      <c r="J704" s="19">
        <v>25</v>
      </c>
      <c r="K704" s="1" t="s">
        <v>160</v>
      </c>
      <c r="L704" s="2" t="s">
        <v>453</v>
      </c>
      <c r="M704" s="19">
        <v>2016</v>
      </c>
      <c r="N704" s="1" t="s">
        <v>447</v>
      </c>
      <c r="O704" s="19">
        <v>773</v>
      </c>
      <c r="P704" s="1" t="s">
        <v>18</v>
      </c>
      <c r="Q704" s="19">
        <v>3</v>
      </c>
      <c r="R704" s="19">
        <v>2</v>
      </c>
      <c r="S704" s="19">
        <v>25</v>
      </c>
      <c r="T704" s="14">
        <v>170000</v>
      </c>
      <c r="U704" s="14">
        <v>230000</v>
      </c>
      <c r="V704" s="14">
        <v>80000</v>
      </c>
      <c r="W704" s="4">
        <f t="shared" si="30"/>
        <v>0.35294117647058826</v>
      </c>
      <c r="Z704" s="11">
        <f t="shared" si="31"/>
        <v>0.34782608695652173</v>
      </c>
      <c r="AA704" s="19">
        <f t="shared" si="32"/>
        <v>150000</v>
      </c>
    </row>
    <row r="705" spans="2:27" x14ac:dyDescent="0.45">
      <c r="B705" s="7">
        <v>1205</v>
      </c>
      <c r="C705" s="1" t="s">
        <v>31</v>
      </c>
      <c r="D705" s="1" t="s">
        <v>866</v>
      </c>
      <c r="E705" s="1" t="s">
        <v>892</v>
      </c>
      <c r="F705" s="1" t="s">
        <v>877</v>
      </c>
      <c r="G705" s="19">
        <v>5</v>
      </c>
      <c r="H705" s="19">
        <v>42</v>
      </c>
      <c r="I705" s="19">
        <v>15</v>
      </c>
      <c r="J705" s="19">
        <v>25</v>
      </c>
      <c r="K705" s="1" t="s">
        <v>145</v>
      </c>
      <c r="L705" s="2" t="s">
        <v>439</v>
      </c>
      <c r="M705" s="19">
        <v>2014</v>
      </c>
      <c r="N705" s="1" t="s">
        <v>447</v>
      </c>
      <c r="O705" s="19">
        <v>530</v>
      </c>
      <c r="P705" s="1" t="s">
        <v>18</v>
      </c>
      <c r="Q705" s="19">
        <v>3</v>
      </c>
      <c r="R705" s="19">
        <v>2</v>
      </c>
      <c r="S705" s="19">
        <v>33</v>
      </c>
      <c r="T705" s="14">
        <v>175000</v>
      </c>
      <c r="U705" s="14">
        <v>230000</v>
      </c>
      <c r="V705" s="14">
        <v>100000</v>
      </c>
      <c r="W705" s="4">
        <f t="shared" si="30"/>
        <v>0.31428571428571428</v>
      </c>
      <c r="Z705" s="11">
        <f t="shared" si="31"/>
        <v>0.43478260869565216</v>
      </c>
      <c r="AA705" s="19">
        <f t="shared" si="32"/>
        <v>130000</v>
      </c>
    </row>
    <row r="706" spans="2:27" x14ac:dyDescent="0.45">
      <c r="B706" s="7">
        <v>1225</v>
      </c>
      <c r="C706" s="1" t="s">
        <v>10</v>
      </c>
      <c r="D706" s="1" t="s">
        <v>866</v>
      </c>
      <c r="E706" s="1" t="s">
        <v>897</v>
      </c>
      <c r="F706" s="1" t="s">
        <v>882</v>
      </c>
      <c r="G706" s="19">
        <v>4</v>
      </c>
      <c r="H706" s="19">
        <v>38</v>
      </c>
      <c r="I706" s="19">
        <v>18</v>
      </c>
      <c r="J706" s="19">
        <v>10</v>
      </c>
      <c r="K706" s="1" t="s">
        <v>55</v>
      </c>
      <c r="L706" s="2" t="s">
        <v>439</v>
      </c>
      <c r="M706" s="19">
        <v>2015</v>
      </c>
      <c r="N706" s="1" t="s">
        <v>434</v>
      </c>
      <c r="O706" s="19">
        <v>1164</v>
      </c>
      <c r="P706" s="1" t="s">
        <v>18</v>
      </c>
      <c r="Q706" s="19">
        <v>3</v>
      </c>
      <c r="R706" s="19">
        <v>2</v>
      </c>
      <c r="S706" s="19">
        <v>25</v>
      </c>
      <c r="T706" s="14">
        <v>155000</v>
      </c>
      <c r="U706" s="14">
        <v>230000</v>
      </c>
      <c r="V706" s="14">
        <v>80000</v>
      </c>
      <c r="W706" s="4">
        <f t="shared" si="30"/>
        <v>0.4838709677419355</v>
      </c>
      <c r="Z706" s="11">
        <f t="shared" si="31"/>
        <v>0.34782608695652173</v>
      </c>
      <c r="AA706" s="19">
        <f t="shared" si="32"/>
        <v>150000</v>
      </c>
    </row>
    <row r="707" spans="2:27" x14ac:dyDescent="0.45">
      <c r="B707" s="7">
        <v>1553</v>
      </c>
      <c r="C707" s="1" t="s">
        <v>19</v>
      </c>
      <c r="D707" s="1" t="s">
        <v>964</v>
      </c>
      <c r="E707" s="1" t="s">
        <v>988</v>
      </c>
      <c r="F707" s="1" t="s">
        <v>977</v>
      </c>
      <c r="G707" s="19">
        <v>5</v>
      </c>
      <c r="H707" s="19">
        <v>22</v>
      </c>
      <c r="I707" s="19">
        <v>28</v>
      </c>
      <c r="J707" s="19">
        <v>25</v>
      </c>
      <c r="K707" s="1" t="s">
        <v>156</v>
      </c>
      <c r="L707" s="2" t="s">
        <v>439</v>
      </c>
      <c r="M707" s="19">
        <v>2012</v>
      </c>
      <c r="N707" s="1" t="s">
        <v>434</v>
      </c>
      <c r="O707" s="19">
        <v>1511</v>
      </c>
      <c r="P707" s="1" t="s">
        <v>18</v>
      </c>
      <c r="Q707" s="19">
        <v>3</v>
      </c>
      <c r="R707" s="19">
        <v>2</v>
      </c>
      <c r="S707" s="19">
        <v>25</v>
      </c>
      <c r="T707" s="14">
        <v>175000</v>
      </c>
      <c r="U707" s="14">
        <v>230000</v>
      </c>
      <c r="V707" s="14">
        <v>74500</v>
      </c>
      <c r="W707" s="4">
        <f t="shared" si="30"/>
        <v>0.31428571428571428</v>
      </c>
      <c r="Z707" s="11">
        <f t="shared" si="31"/>
        <v>0.32391304347826089</v>
      </c>
      <c r="AA707" s="19">
        <f t="shared" si="32"/>
        <v>155500</v>
      </c>
    </row>
    <row r="708" spans="2:27" x14ac:dyDescent="0.45">
      <c r="B708" s="7">
        <v>1762</v>
      </c>
      <c r="C708" s="1" t="s">
        <v>24</v>
      </c>
      <c r="D708" s="1" t="s">
        <v>1032</v>
      </c>
      <c r="E708" s="1" t="s">
        <v>1044</v>
      </c>
      <c r="F708" s="1" t="s">
        <v>1036</v>
      </c>
      <c r="G708" s="19">
        <v>12</v>
      </c>
      <c r="H708" s="19">
        <v>35</v>
      </c>
      <c r="I708" s="19">
        <v>35</v>
      </c>
      <c r="J708" s="19">
        <v>42</v>
      </c>
      <c r="K708" s="2" t="s">
        <v>369</v>
      </c>
      <c r="L708" s="2" t="s">
        <v>453</v>
      </c>
      <c r="M708" s="19">
        <v>2019</v>
      </c>
      <c r="N708" s="1" t="s">
        <v>447</v>
      </c>
      <c r="O708" s="19">
        <v>697</v>
      </c>
      <c r="P708" s="1" t="s">
        <v>18</v>
      </c>
      <c r="Q708" s="19">
        <v>3</v>
      </c>
      <c r="R708" s="19">
        <v>2</v>
      </c>
      <c r="S708" s="19">
        <v>25</v>
      </c>
      <c r="T708" s="14">
        <v>165000</v>
      </c>
      <c r="U708" s="14">
        <v>230000</v>
      </c>
      <c r="V708" s="14">
        <v>92000</v>
      </c>
      <c r="W708" s="4">
        <f t="shared" si="30"/>
        <v>0.39393939393939392</v>
      </c>
      <c r="Z708" s="11">
        <f t="shared" si="31"/>
        <v>0.4</v>
      </c>
      <c r="AA708" s="19">
        <f t="shared" si="32"/>
        <v>138000</v>
      </c>
    </row>
    <row r="709" spans="2:27" x14ac:dyDescent="0.45">
      <c r="B709" s="7">
        <v>1839</v>
      </c>
      <c r="C709" s="1" t="s">
        <v>24</v>
      </c>
      <c r="D709" s="1" t="s">
        <v>1032</v>
      </c>
      <c r="E709" s="1" t="s">
        <v>1069</v>
      </c>
      <c r="F709" s="1" t="s">
        <v>1033</v>
      </c>
      <c r="G709" s="19">
        <v>6</v>
      </c>
      <c r="H709" s="19">
        <v>32</v>
      </c>
      <c r="I709" s="19">
        <v>50</v>
      </c>
      <c r="J709" s="19">
        <v>52</v>
      </c>
      <c r="K709" s="2" t="s">
        <v>197</v>
      </c>
      <c r="L709" s="2" t="s">
        <v>439</v>
      </c>
      <c r="M709" s="19">
        <v>2004</v>
      </c>
      <c r="N709" s="1" t="s">
        <v>434</v>
      </c>
      <c r="O709" s="19">
        <v>1696</v>
      </c>
      <c r="P709" s="1" t="s">
        <v>18</v>
      </c>
      <c r="Q709" s="19">
        <v>3</v>
      </c>
      <c r="R709" s="19">
        <v>2</v>
      </c>
      <c r="S709" s="19">
        <v>33</v>
      </c>
      <c r="T709" s="14">
        <v>171000</v>
      </c>
      <c r="U709" s="14">
        <v>230000</v>
      </c>
      <c r="V709" s="14">
        <v>100000</v>
      </c>
      <c r="W709" s="4">
        <f t="shared" si="30"/>
        <v>0.34502923976608185</v>
      </c>
      <c r="Z709" s="11">
        <f t="shared" si="31"/>
        <v>0.43478260869565216</v>
      </c>
      <c r="AA709" s="19">
        <f t="shared" si="32"/>
        <v>130000</v>
      </c>
    </row>
    <row r="710" spans="2:27" x14ac:dyDescent="0.45">
      <c r="B710" s="7">
        <v>1936</v>
      </c>
      <c r="C710" s="1" t="s">
        <v>185</v>
      </c>
      <c r="D710" s="1" t="s">
        <v>1077</v>
      </c>
      <c r="E710" s="1" t="s">
        <v>1095</v>
      </c>
      <c r="F710" s="1" t="s">
        <v>1096</v>
      </c>
      <c r="G710" s="19">
        <v>5</v>
      </c>
      <c r="H710" s="19">
        <v>42</v>
      </c>
      <c r="I710" s="19">
        <v>22</v>
      </c>
      <c r="J710" s="19">
        <v>32</v>
      </c>
      <c r="K710" s="1" t="s">
        <v>193</v>
      </c>
      <c r="L710" s="2" t="s">
        <v>453</v>
      </c>
      <c r="M710" s="19">
        <v>2016</v>
      </c>
      <c r="N710" s="1" t="s">
        <v>434</v>
      </c>
      <c r="O710" s="19">
        <v>1081</v>
      </c>
      <c r="P710" s="1" t="s">
        <v>18</v>
      </c>
      <c r="Q710" s="19">
        <v>3</v>
      </c>
      <c r="R710" s="19">
        <v>2</v>
      </c>
      <c r="S710" s="19">
        <v>33</v>
      </c>
      <c r="T710" s="14">
        <v>180000</v>
      </c>
      <c r="U710" s="14">
        <v>230000</v>
      </c>
      <c r="V710" s="14">
        <v>99000</v>
      </c>
      <c r="W710" s="4">
        <f t="shared" ref="W710:W773" si="33">(U710-$T710)/$T710</f>
        <v>0.27777777777777779</v>
      </c>
      <c r="Z710" s="11">
        <f t="shared" ref="Z710:Z773" si="34">V710/U710</f>
        <v>0.43043478260869567</v>
      </c>
      <c r="AA710" s="19">
        <f t="shared" ref="AA710:AA773" si="35">U710-V710</f>
        <v>131000</v>
      </c>
    </row>
    <row r="711" spans="2:27" x14ac:dyDescent="0.45">
      <c r="B711" s="7">
        <v>2055</v>
      </c>
      <c r="C711" s="1" t="s">
        <v>100</v>
      </c>
      <c r="D711" s="1" t="s">
        <v>1107</v>
      </c>
      <c r="E711" s="1" t="s">
        <v>1134</v>
      </c>
      <c r="F711" s="1" t="s">
        <v>1116</v>
      </c>
      <c r="G711" s="19">
        <v>5</v>
      </c>
      <c r="H711" s="19">
        <v>32</v>
      </c>
      <c r="I711" s="19">
        <v>10</v>
      </c>
      <c r="J711" s="19">
        <v>22</v>
      </c>
      <c r="K711" s="1" t="s">
        <v>102</v>
      </c>
      <c r="L711" s="2" t="s">
        <v>453</v>
      </c>
      <c r="M711" s="19">
        <v>2020</v>
      </c>
      <c r="N711" s="1" t="s">
        <v>447</v>
      </c>
      <c r="O711" s="19">
        <v>802</v>
      </c>
      <c r="P711" s="1" t="s">
        <v>18</v>
      </c>
      <c r="Q711" s="19">
        <v>3</v>
      </c>
      <c r="R711" s="19">
        <v>2</v>
      </c>
      <c r="S711" s="19">
        <v>25</v>
      </c>
      <c r="T711" s="14">
        <v>153500</v>
      </c>
      <c r="U711" s="14">
        <v>230000</v>
      </c>
      <c r="V711" s="14">
        <v>87000</v>
      </c>
      <c r="W711" s="4">
        <f t="shared" si="33"/>
        <v>0.49837133550488599</v>
      </c>
      <c r="Z711" s="11">
        <f t="shared" si="34"/>
        <v>0.37826086956521737</v>
      </c>
      <c r="AA711" s="19">
        <f t="shared" si="35"/>
        <v>143000</v>
      </c>
    </row>
    <row r="712" spans="2:27" x14ac:dyDescent="0.45">
      <c r="B712" s="7">
        <v>2274</v>
      </c>
      <c r="C712" s="1" t="s">
        <v>45</v>
      </c>
      <c r="D712" s="1" t="s">
        <v>1182</v>
      </c>
      <c r="E712" s="1" t="s">
        <v>1192</v>
      </c>
      <c r="F712" s="1" t="s">
        <v>1190</v>
      </c>
      <c r="G712" s="19">
        <v>6</v>
      </c>
      <c r="H712" s="19">
        <v>45</v>
      </c>
      <c r="I712" s="19">
        <v>30</v>
      </c>
      <c r="J712" s="19">
        <v>10</v>
      </c>
      <c r="K712" s="1" t="s">
        <v>47</v>
      </c>
      <c r="L712" s="2" t="s">
        <v>453</v>
      </c>
      <c r="M712" s="19">
        <v>2017</v>
      </c>
      <c r="N712" s="1" t="s">
        <v>447</v>
      </c>
      <c r="O712" s="19">
        <v>589</v>
      </c>
      <c r="P712" s="1" t="s">
        <v>18</v>
      </c>
      <c r="Q712" s="19">
        <v>3</v>
      </c>
      <c r="R712" s="19">
        <v>2</v>
      </c>
      <c r="S712" s="19">
        <v>25</v>
      </c>
      <c r="T712" s="14">
        <v>170000</v>
      </c>
      <c r="U712" s="14">
        <v>232000</v>
      </c>
      <c r="V712" s="14">
        <v>105000</v>
      </c>
      <c r="W712" s="4">
        <f t="shared" si="33"/>
        <v>0.36470588235294116</v>
      </c>
      <c r="Z712" s="11">
        <f t="shared" si="34"/>
        <v>0.45258620689655171</v>
      </c>
      <c r="AA712" s="19">
        <f t="shared" si="35"/>
        <v>127000</v>
      </c>
    </row>
    <row r="713" spans="2:27" x14ac:dyDescent="0.45">
      <c r="B713" s="7">
        <v>14</v>
      </c>
      <c r="C713" s="1" t="s">
        <v>435</v>
      </c>
      <c r="D713" s="1" t="s">
        <v>436</v>
      </c>
      <c r="E713" s="1" t="s">
        <v>448</v>
      </c>
      <c r="F713" s="1" t="s">
        <v>449</v>
      </c>
      <c r="G713" s="19">
        <v>3</v>
      </c>
      <c r="H713" s="19">
        <v>28</v>
      </c>
      <c r="I713" s="19">
        <v>52</v>
      </c>
      <c r="J713" s="19">
        <v>50</v>
      </c>
      <c r="K713" s="2" t="s">
        <v>361</v>
      </c>
      <c r="L713" s="2" t="s">
        <v>433</v>
      </c>
      <c r="M713" s="19">
        <v>1994</v>
      </c>
      <c r="N713" s="1" t="s">
        <v>447</v>
      </c>
      <c r="O713" s="19">
        <v>930</v>
      </c>
      <c r="P713" s="1" t="s">
        <v>5</v>
      </c>
      <c r="Q713" s="19">
        <v>3</v>
      </c>
      <c r="R713" s="19">
        <v>1</v>
      </c>
      <c r="S713" s="19">
        <v>24</v>
      </c>
      <c r="T713" s="14">
        <v>170000</v>
      </c>
      <c r="U713" s="14">
        <v>235000</v>
      </c>
      <c r="V713" s="14">
        <v>73000</v>
      </c>
      <c r="W713" s="4">
        <f t="shared" si="33"/>
        <v>0.38235294117647056</v>
      </c>
      <c r="Z713" s="11">
        <f t="shared" si="34"/>
        <v>0.31063829787234043</v>
      </c>
      <c r="AA713" s="19">
        <f t="shared" si="35"/>
        <v>162000</v>
      </c>
    </row>
    <row r="714" spans="2:27" x14ac:dyDescent="0.45">
      <c r="B714" s="7">
        <v>64</v>
      </c>
      <c r="C714" s="1" t="s">
        <v>435</v>
      </c>
      <c r="D714" s="1" t="s">
        <v>458</v>
      </c>
      <c r="E714" s="1" t="s">
        <v>470</v>
      </c>
      <c r="F714" s="1" t="s">
        <v>471</v>
      </c>
      <c r="G714" s="19">
        <v>9</v>
      </c>
      <c r="H714" s="19">
        <v>14</v>
      </c>
      <c r="I714" s="19">
        <v>32</v>
      </c>
      <c r="J714" s="19">
        <v>42</v>
      </c>
      <c r="K714" s="2" t="s">
        <v>472</v>
      </c>
      <c r="L714" s="2" t="s">
        <v>433</v>
      </c>
      <c r="M714" s="19">
        <v>1999</v>
      </c>
      <c r="N714" s="1" t="s">
        <v>440</v>
      </c>
      <c r="O714" s="19">
        <v>391</v>
      </c>
      <c r="P714" s="1" t="s">
        <v>5</v>
      </c>
      <c r="Q714" s="19">
        <v>3</v>
      </c>
      <c r="R714" s="19">
        <v>1</v>
      </c>
      <c r="S714" s="19">
        <v>24</v>
      </c>
      <c r="T714" s="14">
        <v>174000</v>
      </c>
      <c r="U714" s="14">
        <v>235000</v>
      </c>
      <c r="V714" s="14">
        <v>73000</v>
      </c>
      <c r="W714" s="4">
        <f t="shared" si="33"/>
        <v>0.35057471264367818</v>
      </c>
      <c r="Z714" s="11">
        <f t="shared" si="34"/>
        <v>0.31063829787234043</v>
      </c>
      <c r="AA714" s="19">
        <f t="shared" si="35"/>
        <v>162000</v>
      </c>
    </row>
    <row r="715" spans="2:27" x14ac:dyDescent="0.45">
      <c r="B715" s="7">
        <v>1089</v>
      </c>
      <c r="C715" s="1" t="s">
        <v>14</v>
      </c>
      <c r="D715" s="1" t="s">
        <v>816</v>
      </c>
      <c r="E715" s="1" t="s">
        <v>858</v>
      </c>
      <c r="F715" s="1" t="s">
        <v>856</v>
      </c>
      <c r="G715" s="19">
        <v>7</v>
      </c>
      <c r="H715" s="19">
        <v>28</v>
      </c>
      <c r="I715" s="19">
        <v>8</v>
      </c>
      <c r="J715" s="19">
        <v>24</v>
      </c>
      <c r="K715" s="2" t="s">
        <v>224</v>
      </c>
      <c r="L715" s="2" t="s">
        <v>439</v>
      </c>
      <c r="M715" s="19">
        <v>2011</v>
      </c>
      <c r="N715" s="1" t="s">
        <v>447</v>
      </c>
      <c r="O715" s="19">
        <v>523</v>
      </c>
      <c r="P715" s="1" t="s">
        <v>18</v>
      </c>
      <c r="Q715" s="19">
        <v>3</v>
      </c>
      <c r="R715" s="19">
        <v>2</v>
      </c>
      <c r="S715" s="19">
        <v>24</v>
      </c>
      <c r="T715" s="14">
        <v>136500</v>
      </c>
      <c r="U715" s="14">
        <v>235000</v>
      </c>
      <c r="V715" s="14">
        <v>80000</v>
      </c>
      <c r="W715" s="4">
        <f t="shared" si="33"/>
        <v>0.7216117216117216</v>
      </c>
      <c r="Z715" s="11">
        <f t="shared" si="34"/>
        <v>0.34042553191489361</v>
      </c>
      <c r="AA715" s="19">
        <f t="shared" si="35"/>
        <v>155000</v>
      </c>
    </row>
    <row r="716" spans="2:27" x14ac:dyDescent="0.45">
      <c r="B716" s="7">
        <v>1511</v>
      </c>
      <c r="C716" s="1" t="s">
        <v>19</v>
      </c>
      <c r="D716" s="1" t="s">
        <v>964</v>
      </c>
      <c r="E716" s="1" t="s">
        <v>978</v>
      </c>
      <c r="F716" s="1" t="s">
        <v>977</v>
      </c>
      <c r="G716" s="19">
        <v>5</v>
      </c>
      <c r="H716" s="19">
        <v>22</v>
      </c>
      <c r="I716" s="19">
        <v>28</v>
      </c>
      <c r="J716" s="19">
        <v>25</v>
      </c>
      <c r="K716" s="1" t="s">
        <v>331</v>
      </c>
      <c r="L716" s="2" t="s">
        <v>433</v>
      </c>
      <c r="M716" s="19">
        <v>1999</v>
      </c>
      <c r="N716" s="1" t="s">
        <v>434</v>
      </c>
      <c r="O716" s="19">
        <v>1114</v>
      </c>
      <c r="P716" s="1" t="s">
        <v>18</v>
      </c>
      <c r="Q716" s="19">
        <v>3</v>
      </c>
      <c r="R716" s="19">
        <v>2</v>
      </c>
      <c r="S716" s="19">
        <v>33</v>
      </c>
      <c r="T716" s="14">
        <v>178000</v>
      </c>
      <c r="U716" s="14">
        <v>235000</v>
      </c>
      <c r="V716" s="14">
        <v>79500</v>
      </c>
      <c r="W716" s="4">
        <f t="shared" si="33"/>
        <v>0.3202247191011236</v>
      </c>
      <c r="Z716" s="11">
        <f t="shared" si="34"/>
        <v>0.33829787234042552</v>
      </c>
      <c r="AA716" s="19">
        <f t="shared" si="35"/>
        <v>155500</v>
      </c>
    </row>
    <row r="717" spans="2:27" x14ac:dyDescent="0.45">
      <c r="B717" s="7">
        <v>1520</v>
      </c>
      <c r="C717" s="1" t="s">
        <v>8</v>
      </c>
      <c r="D717" s="1" t="s">
        <v>964</v>
      </c>
      <c r="E717" s="1" t="s">
        <v>981</v>
      </c>
      <c r="F717" s="1" t="s">
        <v>970</v>
      </c>
      <c r="G717" s="19">
        <v>2</v>
      </c>
      <c r="H717" s="19">
        <v>32</v>
      </c>
      <c r="I717" s="19">
        <v>30</v>
      </c>
      <c r="J717" s="19">
        <v>12</v>
      </c>
      <c r="K717" s="1" t="s">
        <v>273</v>
      </c>
      <c r="L717" s="2" t="s">
        <v>453</v>
      </c>
      <c r="M717" s="19">
        <v>2016</v>
      </c>
      <c r="N717" s="1" t="s">
        <v>434</v>
      </c>
      <c r="O717" s="19">
        <v>2529</v>
      </c>
      <c r="P717" s="1" t="s">
        <v>18</v>
      </c>
      <c r="Q717" s="19">
        <v>3</v>
      </c>
      <c r="R717" s="19">
        <v>2</v>
      </c>
      <c r="S717" s="19">
        <v>33</v>
      </c>
      <c r="T717" s="14">
        <v>192000</v>
      </c>
      <c r="U717" s="14">
        <v>235000</v>
      </c>
      <c r="V717" s="14">
        <v>98000</v>
      </c>
      <c r="W717" s="4">
        <f t="shared" si="33"/>
        <v>0.22395833333333334</v>
      </c>
      <c r="Z717" s="11">
        <f t="shared" si="34"/>
        <v>0.41702127659574467</v>
      </c>
      <c r="AA717" s="19">
        <f t="shared" si="35"/>
        <v>137000</v>
      </c>
    </row>
    <row r="718" spans="2:27" x14ac:dyDescent="0.45">
      <c r="B718" s="7">
        <v>1733</v>
      </c>
      <c r="C718" s="1" t="s">
        <v>22</v>
      </c>
      <c r="D718" s="1" t="s">
        <v>1032</v>
      </c>
      <c r="E718" s="1" t="s">
        <v>1034</v>
      </c>
      <c r="F718" s="1" t="s">
        <v>1035</v>
      </c>
      <c r="G718" s="19" t="s">
        <v>1248</v>
      </c>
      <c r="H718" s="19">
        <v>25</v>
      </c>
      <c r="I718" s="19">
        <v>45</v>
      </c>
      <c r="J718" s="19">
        <v>48</v>
      </c>
      <c r="K718" s="2" t="s">
        <v>415</v>
      </c>
      <c r="L718" s="2" t="s">
        <v>453</v>
      </c>
      <c r="M718" s="19">
        <v>2018</v>
      </c>
      <c r="N718" s="1" t="s">
        <v>434</v>
      </c>
      <c r="O718" s="19">
        <v>9510</v>
      </c>
      <c r="P718" s="1" t="s">
        <v>18</v>
      </c>
      <c r="Q718" s="19">
        <v>2</v>
      </c>
      <c r="R718" s="19">
        <v>1</v>
      </c>
      <c r="S718" s="19">
        <v>22</v>
      </c>
      <c r="T718" s="14">
        <v>163000</v>
      </c>
      <c r="U718" s="14">
        <v>235000</v>
      </c>
      <c r="V718" s="14">
        <v>79000</v>
      </c>
      <c r="W718" s="4">
        <f t="shared" si="33"/>
        <v>0.44171779141104295</v>
      </c>
      <c r="Z718" s="11">
        <f t="shared" si="34"/>
        <v>0.33617021276595743</v>
      </c>
      <c r="AA718" s="19">
        <f t="shared" si="35"/>
        <v>156000</v>
      </c>
    </row>
    <row r="719" spans="2:27" x14ac:dyDescent="0.45">
      <c r="B719" s="7">
        <v>1888</v>
      </c>
      <c r="C719" s="1" t="s">
        <v>22</v>
      </c>
      <c r="D719" s="1" t="s">
        <v>1032</v>
      </c>
      <c r="E719" s="1" t="s">
        <v>1076</v>
      </c>
      <c r="F719" s="1" t="s">
        <v>1073</v>
      </c>
      <c r="G719" s="19">
        <v>4</v>
      </c>
      <c r="H719" s="19">
        <v>30</v>
      </c>
      <c r="I719" s="19">
        <v>48</v>
      </c>
      <c r="J719" s="19">
        <v>50</v>
      </c>
      <c r="K719" s="2" t="s">
        <v>23</v>
      </c>
      <c r="L719" s="2" t="s">
        <v>439</v>
      </c>
      <c r="M719" s="19">
        <v>2007</v>
      </c>
      <c r="N719" s="1" t="s">
        <v>447</v>
      </c>
      <c r="O719" s="19">
        <v>919</v>
      </c>
      <c r="P719" s="1" t="s">
        <v>18</v>
      </c>
      <c r="Q719" s="19">
        <v>3</v>
      </c>
      <c r="R719" s="19">
        <v>2</v>
      </c>
      <c r="S719" s="19">
        <v>32</v>
      </c>
      <c r="T719" s="14">
        <v>180000</v>
      </c>
      <c r="U719" s="14">
        <v>235000</v>
      </c>
      <c r="V719" s="14">
        <v>85000</v>
      </c>
      <c r="W719" s="4">
        <f t="shared" si="33"/>
        <v>0.30555555555555558</v>
      </c>
      <c r="Z719" s="11">
        <f t="shared" si="34"/>
        <v>0.36170212765957449</v>
      </c>
      <c r="AA719" s="19">
        <f t="shared" si="35"/>
        <v>150000</v>
      </c>
    </row>
    <row r="720" spans="2:27" x14ac:dyDescent="0.45">
      <c r="B720" s="7">
        <v>2277</v>
      </c>
      <c r="C720" s="1" t="s">
        <v>45</v>
      </c>
      <c r="D720" s="1" t="s">
        <v>1182</v>
      </c>
      <c r="E720" s="1" t="s">
        <v>1193</v>
      </c>
      <c r="F720" s="1" t="s">
        <v>1190</v>
      </c>
      <c r="G720" s="19">
        <v>5</v>
      </c>
      <c r="H720" s="19">
        <v>45</v>
      </c>
      <c r="I720" s="19">
        <v>30</v>
      </c>
      <c r="J720" s="19">
        <v>10</v>
      </c>
      <c r="K720" s="1" t="s">
        <v>46</v>
      </c>
      <c r="L720" s="2" t="s">
        <v>453</v>
      </c>
      <c r="M720" s="19">
        <v>2017</v>
      </c>
      <c r="N720" s="1" t="s">
        <v>434</v>
      </c>
      <c r="O720" s="19">
        <v>1148</v>
      </c>
      <c r="P720" s="1" t="s">
        <v>18</v>
      </c>
      <c r="Q720" s="19">
        <v>3</v>
      </c>
      <c r="R720" s="19">
        <v>2</v>
      </c>
      <c r="S720" s="19">
        <v>25</v>
      </c>
      <c r="T720" s="14">
        <v>170000</v>
      </c>
      <c r="U720" s="14">
        <v>235000</v>
      </c>
      <c r="V720" s="14">
        <v>100000</v>
      </c>
      <c r="W720" s="4">
        <f t="shared" si="33"/>
        <v>0.38235294117647056</v>
      </c>
      <c r="Z720" s="11">
        <f t="shared" si="34"/>
        <v>0.42553191489361702</v>
      </c>
      <c r="AA720" s="19">
        <f t="shared" si="35"/>
        <v>135000</v>
      </c>
    </row>
    <row r="721" spans="2:27" x14ac:dyDescent="0.45">
      <c r="B721" s="7">
        <v>144</v>
      </c>
      <c r="C721" s="1" t="s">
        <v>435</v>
      </c>
      <c r="D721" s="1" t="s">
        <v>436</v>
      </c>
      <c r="E721" s="1" t="s">
        <v>494</v>
      </c>
      <c r="F721" s="1" t="s">
        <v>495</v>
      </c>
      <c r="G721" s="19">
        <v>10</v>
      </c>
      <c r="H721" s="19">
        <v>12</v>
      </c>
      <c r="I721" s="19">
        <v>32</v>
      </c>
      <c r="J721" s="19">
        <v>25</v>
      </c>
      <c r="K721" s="2" t="s">
        <v>94</v>
      </c>
      <c r="L721" s="2" t="s">
        <v>433</v>
      </c>
      <c r="M721" s="19">
        <v>1997</v>
      </c>
      <c r="N721" s="1" t="s">
        <v>447</v>
      </c>
      <c r="O721" s="19">
        <v>644</v>
      </c>
      <c r="P721" s="1" t="s">
        <v>18</v>
      </c>
      <c r="Q721" s="19">
        <v>3</v>
      </c>
      <c r="R721" s="19">
        <v>2</v>
      </c>
      <c r="S721" s="19">
        <v>33</v>
      </c>
      <c r="T721" s="14">
        <v>180000</v>
      </c>
      <c r="U721" s="14">
        <v>240000</v>
      </c>
      <c r="V721" s="14">
        <v>85000</v>
      </c>
      <c r="W721" s="4">
        <f t="shared" si="33"/>
        <v>0.33333333333333331</v>
      </c>
      <c r="Z721" s="11">
        <f t="shared" si="34"/>
        <v>0.35416666666666669</v>
      </c>
      <c r="AA721" s="19">
        <f t="shared" si="35"/>
        <v>155000</v>
      </c>
    </row>
    <row r="722" spans="2:27" x14ac:dyDescent="0.45">
      <c r="B722" s="7">
        <v>653</v>
      </c>
      <c r="C722" s="1" t="s">
        <v>62</v>
      </c>
      <c r="D722" s="1" t="s">
        <v>626</v>
      </c>
      <c r="E722" s="1" t="s">
        <v>644</v>
      </c>
      <c r="F722" s="1" t="s">
        <v>645</v>
      </c>
      <c r="G722" s="19">
        <v>3</v>
      </c>
      <c r="H722" s="19">
        <v>30</v>
      </c>
      <c r="I722" s="19">
        <v>46</v>
      </c>
      <c r="J722" s="19">
        <v>36</v>
      </c>
      <c r="K722" s="1" t="s">
        <v>66</v>
      </c>
      <c r="L722" s="2" t="s">
        <v>439</v>
      </c>
      <c r="M722" s="19">
        <v>2000</v>
      </c>
      <c r="N722" s="1" t="s">
        <v>434</v>
      </c>
      <c r="O722" s="19">
        <v>1170</v>
      </c>
      <c r="P722" s="1" t="s">
        <v>18</v>
      </c>
      <c r="Q722" s="19">
        <v>3</v>
      </c>
      <c r="R722" s="19">
        <v>2</v>
      </c>
      <c r="S722" s="19">
        <v>30</v>
      </c>
      <c r="T722" s="14">
        <v>180000</v>
      </c>
      <c r="U722" s="14">
        <v>240000</v>
      </c>
      <c r="V722" s="14">
        <v>110000</v>
      </c>
      <c r="W722" s="4">
        <f t="shared" si="33"/>
        <v>0.33333333333333331</v>
      </c>
      <c r="Z722" s="11">
        <f t="shared" si="34"/>
        <v>0.45833333333333331</v>
      </c>
      <c r="AA722" s="19">
        <f t="shared" si="35"/>
        <v>130000</v>
      </c>
    </row>
    <row r="723" spans="2:27" x14ac:dyDescent="0.45">
      <c r="B723" s="7">
        <v>1197</v>
      </c>
      <c r="C723" s="1" t="s">
        <v>10</v>
      </c>
      <c r="D723" s="1" t="s">
        <v>866</v>
      </c>
      <c r="E723" s="1" t="s">
        <v>881</v>
      </c>
      <c r="F723" s="1" t="s">
        <v>882</v>
      </c>
      <c r="G723" s="19">
        <v>6</v>
      </c>
      <c r="H723" s="19">
        <v>40</v>
      </c>
      <c r="I723" s="19">
        <v>20</v>
      </c>
      <c r="J723" s="19">
        <v>12</v>
      </c>
      <c r="K723" s="1" t="s">
        <v>173</v>
      </c>
      <c r="L723" s="2" t="s">
        <v>439</v>
      </c>
      <c r="M723" s="19">
        <v>2014</v>
      </c>
      <c r="N723" s="1" t="s">
        <v>434</v>
      </c>
      <c r="O723" s="19">
        <v>3885</v>
      </c>
      <c r="P723" s="1" t="s">
        <v>18</v>
      </c>
      <c r="Q723" s="19">
        <v>3</v>
      </c>
      <c r="R723" s="19">
        <v>2</v>
      </c>
      <c r="S723" s="19">
        <v>25</v>
      </c>
      <c r="T723" s="14">
        <v>170000</v>
      </c>
      <c r="U723" s="14">
        <v>240000</v>
      </c>
      <c r="V723" s="14">
        <v>79000</v>
      </c>
      <c r="W723" s="4">
        <f t="shared" si="33"/>
        <v>0.41176470588235292</v>
      </c>
      <c r="Z723" s="11">
        <f t="shared" si="34"/>
        <v>0.32916666666666666</v>
      </c>
      <c r="AA723" s="19">
        <f t="shared" si="35"/>
        <v>161000</v>
      </c>
    </row>
    <row r="724" spans="2:27" x14ac:dyDescent="0.45">
      <c r="B724" s="7">
        <v>1203</v>
      </c>
      <c r="C724" s="1" t="s">
        <v>31</v>
      </c>
      <c r="D724" s="1" t="s">
        <v>866</v>
      </c>
      <c r="E724" s="1" t="s">
        <v>891</v>
      </c>
      <c r="F724" s="1" t="s">
        <v>867</v>
      </c>
      <c r="G724" s="19">
        <v>4</v>
      </c>
      <c r="H724" s="19">
        <v>45</v>
      </c>
      <c r="I724" s="19">
        <v>15</v>
      </c>
      <c r="J724" s="19">
        <v>25</v>
      </c>
      <c r="K724" s="1" t="s">
        <v>160</v>
      </c>
      <c r="L724" s="2" t="s">
        <v>453</v>
      </c>
      <c r="M724" s="19">
        <v>2016</v>
      </c>
      <c r="N724" s="1" t="s">
        <v>447</v>
      </c>
      <c r="O724" s="19">
        <v>773</v>
      </c>
      <c r="P724" s="1" t="s">
        <v>18</v>
      </c>
      <c r="Q724" s="19">
        <v>3</v>
      </c>
      <c r="R724" s="19">
        <v>2</v>
      </c>
      <c r="S724" s="19">
        <v>33</v>
      </c>
      <c r="T724" s="14">
        <v>230000</v>
      </c>
      <c r="U724" s="14">
        <v>240000</v>
      </c>
      <c r="V724" s="14">
        <v>32000</v>
      </c>
      <c r="W724" s="4">
        <f t="shared" si="33"/>
        <v>4.3478260869565216E-2</v>
      </c>
      <c r="Z724" s="11">
        <f t="shared" si="34"/>
        <v>0.13333333333333333</v>
      </c>
      <c r="AA724" s="19">
        <f t="shared" si="35"/>
        <v>208000</v>
      </c>
    </row>
    <row r="725" spans="2:27" x14ac:dyDescent="0.45">
      <c r="B725" s="7">
        <v>1586</v>
      </c>
      <c r="C725" s="1" t="s">
        <v>19</v>
      </c>
      <c r="D725" s="1" t="s">
        <v>964</v>
      </c>
      <c r="E725" s="1" t="s">
        <v>993</v>
      </c>
      <c r="F725" s="1" t="s">
        <v>996</v>
      </c>
      <c r="G725" s="19">
        <v>3</v>
      </c>
      <c r="H725" s="19">
        <v>20</v>
      </c>
      <c r="I725" s="19">
        <v>28</v>
      </c>
      <c r="J725" s="19">
        <v>22</v>
      </c>
      <c r="K725" s="1" t="s">
        <v>997</v>
      </c>
      <c r="L725" s="2" t="s">
        <v>453</v>
      </c>
      <c r="M725" s="19">
        <v>2016</v>
      </c>
      <c r="N725" s="1" t="s">
        <v>434</v>
      </c>
      <c r="O725" s="19">
        <v>1976</v>
      </c>
      <c r="P725" s="1" t="s">
        <v>18</v>
      </c>
      <c r="Q725" s="19">
        <v>3</v>
      </c>
      <c r="R725" s="19">
        <v>2</v>
      </c>
      <c r="S725" s="19">
        <v>25</v>
      </c>
      <c r="T725" s="14">
        <v>162500</v>
      </c>
      <c r="U725" s="14">
        <v>242000</v>
      </c>
      <c r="V725" s="14">
        <v>76500</v>
      </c>
      <c r="W725" s="4">
        <f t="shared" si="33"/>
        <v>0.48923076923076925</v>
      </c>
      <c r="Z725" s="11">
        <f t="shared" si="34"/>
        <v>0.31611570247933884</v>
      </c>
      <c r="AA725" s="19">
        <f t="shared" si="35"/>
        <v>165500</v>
      </c>
    </row>
    <row r="726" spans="2:27" x14ac:dyDescent="0.45">
      <c r="B726" s="7">
        <v>1181</v>
      </c>
      <c r="C726" s="1" t="s">
        <v>10</v>
      </c>
      <c r="D726" s="1" t="s">
        <v>866</v>
      </c>
      <c r="E726" s="1" t="s">
        <v>887</v>
      </c>
      <c r="F726" s="1" t="s">
        <v>875</v>
      </c>
      <c r="G726" s="19">
        <v>3</v>
      </c>
      <c r="H726" s="19">
        <v>38</v>
      </c>
      <c r="I726" s="19">
        <v>15</v>
      </c>
      <c r="J726" s="19">
        <v>20</v>
      </c>
      <c r="K726" s="1" t="s">
        <v>176</v>
      </c>
      <c r="L726" s="2" t="s">
        <v>453</v>
      </c>
      <c r="M726" s="19">
        <v>2021</v>
      </c>
      <c r="N726" s="1" t="s">
        <v>434</v>
      </c>
      <c r="O726" s="19">
        <v>1694</v>
      </c>
      <c r="P726" s="1" t="s">
        <v>18</v>
      </c>
      <c r="Q726" s="19">
        <v>3</v>
      </c>
      <c r="R726" s="19">
        <v>2</v>
      </c>
      <c r="S726" s="19">
        <v>25</v>
      </c>
      <c r="T726" s="14">
        <v>170000</v>
      </c>
      <c r="U726" s="14">
        <v>243000</v>
      </c>
      <c r="V726" s="14">
        <v>90000</v>
      </c>
      <c r="W726" s="4">
        <f t="shared" si="33"/>
        <v>0.42941176470588233</v>
      </c>
      <c r="Z726" s="11">
        <f t="shared" si="34"/>
        <v>0.37037037037037035</v>
      </c>
      <c r="AA726" s="19">
        <f t="shared" si="35"/>
        <v>153000</v>
      </c>
    </row>
    <row r="727" spans="2:27" x14ac:dyDescent="0.45">
      <c r="B727" s="7">
        <v>966</v>
      </c>
      <c r="C727" s="1" t="s">
        <v>421</v>
      </c>
      <c r="D727" s="1" t="s">
        <v>816</v>
      </c>
      <c r="E727" s="1" t="s">
        <v>824</v>
      </c>
      <c r="F727" s="1" t="s">
        <v>819</v>
      </c>
      <c r="G727" s="19">
        <v>4</v>
      </c>
      <c r="H727" s="19">
        <v>26</v>
      </c>
      <c r="I727" s="19">
        <v>19</v>
      </c>
      <c r="J727" s="19">
        <v>29</v>
      </c>
      <c r="K727" s="2" t="s">
        <v>424</v>
      </c>
      <c r="L727" s="2" t="s">
        <v>439</v>
      </c>
      <c r="M727" s="19">
        <v>2011</v>
      </c>
      <c r="N727" s="1" t="s">
        <v>447</v>
      </c>
      <c r="O727" s="19">
        <v>655</v>
      </c>
      <c r="P727" s="1" t="s">
        <v>18</v>
      </c>
      <c r="Q727" s="19">
        <v>3</v>
      </c>
      <c r="R727" s="19">
        <v>2</v>
      </c>
      <c r="S727" s="19">
        <v>33</v>
      </c>
      <c r="T727" s="14">
        <v>185000</v>
      </c>
      <c r="U727" s="14">
        <v>245000</v>
      </c>
      <c r="V727" s="14">
        <v>90000</v>
      </c>
      <c r="W727" s="4">
        <f t="shared" si="33"/>
        <v>0.32432432432432434</v>
      </c>
      <c r="Z727" s="11">
        <f t="shared" si="34"/>
        <v>0.36734693877551022</v>
      </c>
      <c r="AA727" s="19">
        <f t="shared" si="35"/>
        <v>155000</v>
      </c>
    </row>
    <row r="728" spans="2:27" x14ac:dyDescent="0.45">
      <c r="B728" s="7">
        <v>1088</v>
      </c>
      <c r="C728" s="1" t="s">
        <v>14</v>
      </c>
      <c r="D728" s="1" t="s">
        <v>816</v>
      </c>
      <c r="E728" s="1" t="s">
        <v>858</v>
      </c>
      <c r="F728" s="1" t="s">
        <v>856</v>
      </c>
      <c r="G728" s="19">
        <v>7</v>
      </c>
      <c r="H728" s="19">
        <v>28</v>
      </c>
      <c r="I728" s="19">
        <v>8</v>
      </c>
      <c r="J728" s="19">
        <v>24</v>
      </c>
      <c r="K728" s="2" t="s">
        <v>224</v>
      </c>
      <c r="L728" s="2" t="s">
        <v>439</v>
      </c>
      <c r="M728" s="19">
        <v>2011</v>
      </c>
      <c r="N728" s="1" t="s">
        <v>447</v>
      </c>
      <c r="O728" s="19">
        <v>523</v>
      </c>
      <c r="P728" s="1" t="s">
        <v>18</v>
      </c>
      <c r="Q728" s="19">
        <v>3</v>
      </c>
      <c r="R728" s="19">
        <v>2</v>
      </c>
      <c r="S728" s="19">
        <v>33</v>
      </c>
      <c r="T728" s="14">
        <v>175000</v>
      </c>
      <c r="U728" s="14">
        <v>245000</v>
      </c>
      <c r="V728" s="14">
        <v>90000</v>
      </c>
      <c r="W728" s="4">
        <f t="shared" si="33"/>
        <v>0.4</v>
      </c>
      <c r="Z728" s="11">
        <f t="shared" si="34"/>
        <v>0.36734693877551022</v>
      </c>
      <c r="AA728" s="19">
        <f t="shared" si="35"/>
        <v>155000</v>
      </c>
    </row>
    <row r="729" spans="2:27" x14ac:dyDescent="0.45">
      <c r="B729" s="7">
        <v>1587</v>
      </c>
      <c r="C729" s="1" t="s">
        <v>8</v>
      </c>
      <c r="D729" s="1" t="s">
        <v>964</v>
      </c>
      <c r="E729" s="1" t="s">
        <v>979</v>
      </c>
      <c r="F729" s="1" t="s">
        <v>980</v>
      </c>
      <c r="G729" s="19">
        <v>5</v>
      </c>
      <c r="H729" s="19">
        <v>32</v>
      </c>
      <c r="I729" s="19">
        <v>25</v>
      </c>
      <c r="J729" s="19">
        <v>18</v>
      </c>
      <c r="K729" s="1" t="s">
        <v>9</v>
      </c>
      <c r="L729" s="2" t="s">
        <v>453</v>
      </c>
      <c r="M729" s="19">
        <v>2019</v>
      </c>
      <c r="N729" s="1" t="s">
        <v>434</v>
      </c>
      <c r="O729" s="19">
        <v>1193</v>
      </c>
      <c r="P729" s="1" t="s">
        <v>18</v>
      </c>
      <c r="Q729" s="19">
        <v>3</v>
      </c>
      <c r="R729" s="19">
        <v>2</v>
      </c>
      <c r="S729" s="19">
        <v>33</v>
      </c>
      <c r="T729" s="14">
        <v>177900</v>
      </c>
      <c r="U729" s="14">
        <v>245000</v>
      </c>
      <c r="V729" s="14">
        <v>100000</v>
      </c>
      <c r="W729" s="4">
        <f t="shared" si="33"/>
        <v>0.37717818999437885</v>
      </c>
      <c r="Z729" s="11">
        <f t="shared" si="34"/>
        <v>0.40816326530612246</v>
      </c>
      <c r="AA729" s="19">
        <f t="shared" si="35"/>
        <v>145000</v>
      </c>
    </row>
    <row r="730" spans="2:27" x14ac:dyDescent="0.45">
      <c r="B730" s="7">
        <v>2053</v>
      </c>
      <c r="C730" s="1" t="s">
        <v>100</v>
      </c>
      <c r="D730" s="1" t="s">
        <v>1107</v>
      </c>
      <c r="E730" s="1" t="s">
        <v>1134</v>
      </c>
      <c r="F730" s="1" t="s">
        <v>1116</v>
      </c>
      <c r="G730" s="19">
        <v>5</v>
      </c>
      <c r="H730" s="19">
        <v>32</v>
      </c>
      <c r="I730" s="19">
        <v>10</v>
      </c>
      <c r="J730" s="19">
        <v>22</v>
      </c>
      <c r="K730" s="1" t="s">
        <v>102</v>
      </c>
      <c r="L730" s="2" t="s">
        <v>453</v>
      </c>
      <c r="M730" s="19">
        <v>2020</v>
      </c>
      <c r="N730" s="1" t="s">
        <v>447</v>
      </c>
      <c r="O730" s="19">
        <v>802</v>
      </c>
      <c r="P730" s="1" t="s">
        <v>18</v>
      </c>
      <c r="Q730" s="19">
        <v>3</v>
      </c>
      <c r="R730" s="19">
        <v>2</v>
      </c>
      <c r="S730" s="19">
        <v>33</v>
      </c>
      <c r="T730" s="14">
        <v>189500</v>
      </c>
      <c r="U730" s="14">
        <v>245000</v>
      </c>
      <c r="V730" s="14">
        <v>120000</v>
      </c>
      <c r="W730" s="4">
        <f t="shared" si="33"/>
        <v>0.29287598944591031</v>
      </c>
      <c r="Z730" s="11">
        <f t="shared" si="34"/>
        <v>0.48979591836734693</v>
      </c>
      <c r="AA730" s="19">
        <f t="shared" si="35"/>
        <v>125000</v>
      </c>
    </row>
    <row r="731" spans="2:27" x14ac:dyDescent="0.45">
      <c r="B731" s="7">
        <v>2090</v>
      </c>
      <c r="C731" s="1" t="s">
        <v>336</v>
      </c>
      <c r="D731" s="1" t="s">
        <v>1137</v>
      </c>
      <c r="E731" s="1" t="s">
        <v>1142</v>
      </c>
      <c r="F731" s="1" t="s">
        <v>987</v>
      </c>
      <c r="G731" s="19">
        <v>4</v>
      </c>
      <c r="H731" s="19">
        <v>35</v>
      </c>
      <c r="I731" s="19">
        <v>15</v>
      </c>
      <c r="J731" s="19">
        <v>15</v>
      </c>
      <c r="K731" s="1" t="s">
        <v>337</v>
      </c>
      <c r="L731" s="2" t="s">
        <v>453</v>
      </c>
      <c r="M731" s="19">
        <v>2019</v>
      </c>
      <c r="N731" s="1" t="s">
        <v>440</v>
      </c>
      <c r="O731" s="19">
        <v>478</v>
      </c>
      <c r="P731" s="1" t="s">
        <v>18</v>
      </c>
      <c r="Q731" s="19">
        <v>3</v>
      </c>
      <c r="R731" s="19">
        <v>2</v>
      </c>
      <c r="S731" s="19">
        <v>33</v>
      </c>
      <c r="T731" s="14">
        <v>190000</v>
      </c>
      <c r="U731" s="14">
        <v>245000</v>
      </c>
      <c r="V731" s="14">
        <v>100000</v>
      </c>
      <c r="W731" s="4">
        <f t="shared" si="33"/>
        <v>0.28947368421052633</v>
      </c>
      <c r="Z731" s="11">
        <f t="shared" si="34"/>
        <v>0.40816326530612246</v>
      </c>
      <c r="AA731" s="19">
        <f t="shared" si="35"/>
        <v>145000</v>
      </c>
    </row>
    <row r="732" spans="2:27" x14ac:dyDescent="0.45">
      <c r="B732" s="7">
        <v>954</v>
      </c>
      <c r="C732" s="1" t="s">
        <v>421</v>
      </c>
      <c r="D732" s="1" t="s">
        <v>816</v>
      </c>
      <c r="E732" s="1" t="s">
        <v>820</v>
      </c>
      <c r="F732" s="1" t="s">
        <v>819</v>
      </c>
      <c r="G732" s="19">
        <v>7</v>
      </c>
      <c r="H732" s="19">
        <v>30</v>
      </c>
      <c r="I732" s="19">
        <v>22</v>
      </c>
      <c r="J732" s="19">
        <v>32</v>
      </c>
      <c r="K732" s="2" t="s">
        <v>427</v>
      </c>
      <c r="L732" s="2" t="s">
        <v>453</v>
      </c>
      <c r="M732" s="19">
        <v>2023</v>
      </c>
      <c r="N732" s="1" t="s">
        <v>434</v>
      </c>
      <c r="O732" s="19">
        <v>1772</v>
      </c>
      <c r="P732" s="1" t="s">
        <v>18</v>
      </c>
      <c r="Q732" s="19">
        <v>3</v>
      </c>
      <c r="R732" s="19">
        <v>2</v>
      </c>
      <c r="S732" s="19">
        <v>34</v>
      </c>
      <c r="T732" s="14">
        <v>0</v>
      </c>
      <c r="U732" s="14">
        <v>247000</v>
      </c>
      <c r="V732" s="14">
        <v>75000</v>
      </c>
      <c r="W732" s="4" t="e">
        <f t="shared" si="33"/>
        <v>#DIV/0!</v>
      </c>
      <c r="Z732" s="11">
        <f t="shared" si="34"/>
        <v>0.30364372469635625</v>
      </c>
      <c r="AA732" s="19">
        <f t="shared" si="35"/>
        <v>172000</v>
      </c>
    </row>
    <row r="733" spans="2:27" x14ac:dyDescent="0.45">
      <c r="B733" s="7">
        <v>1849</v>
      </c>
      <c r="C733" s="1" t="s">
        <v>24</v>
      </c>
      <c r="D733" s="1" t="s">
        <v>1032</v>
      </c>
      <c r="E733" s="1" t="s">
        <v>1070</v>
      </c>
      <c r="F733" s="1" t="s">
        <v>1047</v>
      </c>
      <c r="G733" s="19">
        <v>5</v>
      </c>
      <c r="H733" s="19">
        <v>25</v>
      </c>
      <c r="I733" s="19">
        <v>42</v>
      </c>
      <c r="J733" s="19">
        <v>45</v>
      </c>
      <c r="K733" s="2" t="s">
        <v>151</v>
      </c>
      <c r="L733" s="2" t="s">
        <v>439</v>
      </c>
      <c r="M733" s="19">
        <v>2012</v>
      </c>
      <c r="N733" s="1" t="s">
        <v>447</v>
      </c>
      <c r="O733" s="19">
        <v>794</v>
      </c>
      <c r="P733" s="1" t="s">
        <v>18</v>
      </c>
      <c r="Q733" s="19">
        <v>3</v>
      </c>
      <c r="R733" s="19">
        <v>2</v>
      </c>
      <c r="S733" s="19">
        <v>28</v>
      </c>
      <c r="T733" s="14">
        <v>166000</v>
      </c>
      <c r="U733" s="14">
        <v>248000</v>
      </c>
      <c r="V733" s="14">
        <v>100000</v>
      </c>
      <c r="W733" s="4">
        <f t="shared" si="33"/>
        <v>0.49397590361445781</v>
      </c>
      <c r="Z733" s="11">
        <f t="shared" si="34"/>
        <v>0.40322580645161288</v>
      </c>
      <c r="AA733" s="19">
        <f t="shared" si="35"/>
        <v>148000</v>
      </c>
    </row>
    <row r="734" spans="2:27" x14ac:dyDescent="0.45">
      <c r="B734" s="7">
        <v>1850</v>
      </c>
      <c r="C734" s="1" t="s">
        <v>24</v>
      </c>
      <c r="D734" s="1" t="s">
        <v>1032</v>
      </c>
      <c r="E734" s="1" t="s">
        <v>1068</v>
      </c>
      <c r="F734" s="1" t="s">
        <v>1054</v>
      </c>
      <c r="G734" s="19">
        <v>10</v>
      </c>
      <c r="H734" s="19">
        <v>32</v>
      </c>
      <c r="I734" s="19">
        <v>45</v>
      </c>
      <c r="J734" s="19">
        <v>48</v>
      </c>
      <c r="K734" s="2" t="s">
        <v>105</v>
      </c>
      <c r="L734" s="2" t="s">
        <v>433</v>
      </c>
      <c r="M734" s="19">
        <v>1985</v>
      </c>
      <c r="N734" s="1" t="s">
        <v>440</v>
      </c>
      <c r="O734" s="19">
        <v>480</v>
      </c>
      <c r="P734" s="1" t="s">
        <v>18</v>
      </c>
      <c r="Q734" s="19">
        <v>3</v>
      </c>
      <c r="R734" s="19">
        <v>1</v>
      </c>
      <c r="S734" s="19">
        <v>30</v>
      </c>
      <c r="T734" s="14">
        <v>167000</v>
      </c>
      <c r="U734" s="14">
        <v>249000</v>
      </c>
      <c r="V734" s="14">
        <v>80000</v>
      </c>
      <c r="W734" s="4">
        <f t="shared" si="33"/>
        <v>0.49101796407185627</v>
      </c>
      <c r="Z734" s="11">
        <f t="shared" si="34"/>
        <v>0.32128514056224899</v>
      </c>
      <c r="AA734" s="19">
        <f t="shared" si="35"/>
        <v>169000</v>
      </c>
    </row>
    <row r="735" spans="2:27" x14ac:dyDescent="0.45">
      <c r="B735" s="7">
        <v>98</v>
      </c>
      <c r="C735" s="1" t="s">
        <v>441</v>
      </c>
      <c r="D735" s="1" t="s">
        <v>436</v>
      </c>
      <c r="E735" s="1" t="s">
        <v>479</v>
      </c>
      <c r="F735" s="1" t="s">
        <v>477</v>
      </c>
      <c r="G735" s="19">
        <v>5</v>
      </c>
      <c r="H735" s="19">
        <v>22</v>
      </c>
      <c r="I735" s="19">
        <v>45</v>
      </c>
      <c r="J735" s="19">
        <v>50</v>
      </c>
      <c r="K735" s="2" t="s">
        <v>480</v>
      </c>
      <c r="L735" s="2" t="s">
        <v>453</v>
      </c>
      <c r="M735" s="19">
        <v>2023</v>
      </c>
      <c r="N735" s="1" t="s">
        <v>434</v>
      </c>
      <c r="O735" s="19">
        <v>6702</v>
      </c>
      <c r="P735" s="1" t="s">
        <v>5</v>
      </c>
      <c r="Q735" s="19">
        <v>2</v>
      </c>
      <c r="R735" s="19">
        <v>1</v>
      </c>
      <c r="S735" s="19">
        <v>21</v>
      </c>
      <c r="T735" s="14">
        <v>0</v>
      </c>
      <c r="U735" s="14">
        <v>250000</v>
      </c>
      <c r="V735" s="14">
        <v>82000</v>
      </c>
      <c r="W735" s="4" t="e">
        <f t="shared" si="33"/>
        <v>#DIV/0!</v>
      </c>
      <c r="Z735" s="11">
        <f t="shared" si="34"/>
        <v>0.32800000000000001</v>
      </c>
      <c r="AA735" s="19">
        <f t="shared" si="35"/>
        <v>168000</v>
      </c>
    </row>
    <row r="736" spans="2:27" x14ac:dyDescent="0.45">
      <c r="B736" s="7">
        <v>279</v>
      </c>
      <c r="C736" s="1" t="s">
        <v>48</v>
      </c>
      <c r="D736" s="1" t="s">
        <v>508</v>
      </c>
      <c r="E736" s="1" t="s">
        <v>537</v>
      </c>
      <c r="F736" s="1" t="s">
        <v>538</v>
      </c>
      <c r="G736" s="19">
        <v>4</v>
      </c>
      <c r="H736" s="19">
        <v>53</v>
      </c>
      <c r="I736" s="19">
        <v>58</v>
      </c>
      <c r="J736" s="19">
        <v>52</v>
      </c>
      <c r="K736" s="1" t="s">
        <v>49</v>
      </c>
      <c r="L736" s="2" t="s">
        <v>453</v>
      </c>
      <c r="M736" s="19">
        <v>2019</v>
      </c>
      <c r="N736" s="1" t="s">
        <v>434</v>
      </c>
      <c r="O736" s="19">
        <v>4932</v>
      </c>
      <c r="P736" s="1" t="s">
        <v>18</v>
      </c>
      <c r="Q736" s="19">
        <v>3</v>
      </c>
      <c r="R736" s="19">
        <v>2</v>
      </c>
      <c r="S736" s="19">
        <v>33</v>
      </c>
      <c r="T736" s="14">
        <v>200000</v>
      </c>
      <c r="U736" s="14">
        <v>250000</v>
      </c>
      <c r="V736" s="14">
        <v>94500</v>
      </c>
      <c r="W736" s="4">
        <f t="shared" si="33"/>
        <v>0.25</v>
      </c>
      <c r="Z736" s="11">
        <f t="shared" si="34"/>
        <v>0.378</v>
      </c>
      <c r="AA736" s="19">
        <f t="shared" si="35"/>
        <v>155500</v>
      </c>
    </row>
    <row r="737" spans="2:27" x14ac:dyDescent="0.45">
      <c r="B737" s="7">
        <v>660</v>
      </c>
      <c r="C737" s="1" t="s">
        <v>62</v>
      </c>
      <c r="D737" s="1" t="s">
        <v>626</v>
      </c>
      <c r="E737" s="1" t="s">
        <v>647</v>
      </c>
      <c r="F737" s="1" t="s">
        <v>645</v>
      </c>
      <c r="G737" s="19">
        <v>5</v>
      </c>
      <c r="H737" s="19">
        <v>32</v>
      </c>
      <c r="I737" s="19">
        <v>48</v>
      </c>
      <c r="J737" s="19">
        <v>38</v>
      </c>
      <c r="K737" s="1" t="s">
        <v>648</v>
      </c>
      <c r="L737" s="2" t="s">
        <v>433</v>
      </c>
      <c r="M737" s="19">
        <v>1989</v>
      </c>
      <c r="N737" s="1" t="s">
        <v>447</v>
      </c>
      <c r="O737" s="19">
        <v>581</v>
      </c>
      <c r="P737" s="1" t="s">
        <v>18</v>
      </c>
      <c r="Q737" s="19">
        <v>3</v>
      </c>
      <c r="R737" s="19">
        <v>2</v>
      </c>
      <c r="S737" s="19">
        <v>33</v>
      </c>
      <c r="T737" s="14">
        <v>184000</v>
      </c>
      <c r="U737" s="14">
        <v>250000</v>
      </c>
      <c r="V737" s="14">
        <v>85000</v>
      </c>
      <c r="W737" s="4">
        <f t="shared" si="33"/>
        <v>0.35869565217391303</v>
      </c>
      <c r="Z737" s="11">
        <f t="shared" si="34"/>
        <v>0.34</v>
      </c>
      <c r="AA737" s="19">
        <f t="shared" si="35"/>
        <v>165000</v>
      </c>
    </row>
    <row r="738" spans="2:27" x14ac:dyDescent="0.45">
      <c r="B738" s="7">
        <v>1224</v>
      </c>
      <c r="C738" s="1" t="s">
        <v>10</v>
      </c>
      <c r="D738" s="1" t="s">
        <v>866</v>
      </c>
      <c r="E738" s="1" t="s">
        <v>897</v>
      </c>
      <c r="F738" s="1" t="s">
        <v>882</v>
      </c>
      <c r="G738" s="19">
        <v>4</v>
      </c>
      <c r="H738" s="19">
        <v>38</v>
      </c>
      <c r="I738" s="19">
        <v>18</v>
      </c>
      <c r="J738" s="19">
        <v>10</v>
      </c>
      <c r="K738" s="1" t="s">
        <v>55</v>
      </c>
      <c r="L738" s="2" t="s">
        <v>439</v>
      </c>
      <c r="M738" s="19">
        <v>2015</v>
      </c>
      <c r="N738" s="1" t="s">
        <v>434</v>
      </c>
      <c r="O738" s="19">
        <v>1164</v>
      </c>
      <c r="P738" s="1" t="s">
        <v>18</v>
      </c>
      <c r="Q738" s="19">
        <v>3</v>
      </c>
      <c r="R738" s="19">
        <v>2</v>
      </c>
      <c r="S738" s="19">
        <v>33</v>
      </c>
      <c r="T738" s="14">
        <v>185000</v>
      </c>
      <c r="U738" s="14">
        <v>250000</v>
      </c>
      <c r="V738" s="14">
        <v>95000</v>
      </c>
      <c r="W738" s="4">
        <f t="shared" si="33"/>
        <v>0.35135135135135137</v>
      </c>
      <c r="Z738" s="11">
        <f t="shared" si="34"/>
        <v>0.38</v>
      </c>
      <c r="AA738" s="19">
        <f t="shared" si="35"/>
        <v>155000</v>
      </c>
    </row>
    <row r="739" spans="2:27" x14ac:dyDescent="0.45">
      <c r="B739" s="7">
        <v>1411</v>
      </c>
      <c r="C739" s="1" t="s">
        <v>147</v>
      </c>
      <c r="D739" s="1" t="s">
        <v>929</v>
      </c>
      <c r="E739" s="1" t="s">
        <v>951</v>
      </c>
      <c r="F739" s="1" t="s">
        <v>950</v>
      </c>
      <c r="G739" s="19">
        <v>6</v>
      </c>
      <c r="H739" s="19">
        <v>18</v>
      </c>
      <c r="I739" s="19">
        <v>32</v>
      </c>
      <c r="J739" s="19">
        <v>35</v>
      </c>
      <c r="K739" s="2" t="s">
        <v>211</v>
      </c>
      <c r="L739" s="2" t="s">
        <v>439</v>
      </c>
      <c r="M739" s="19">
        <v>2010</v>
      </c>
      <c r="N739" s="1" t="s">
        <v>440</v>
      </c>
      <c r="O739" s="19">
        <v>496</v>
      </c>
      <c r="P739" s="1" t="s">
        <v>18</v>
      </c>
      <c r="Q739" s="19">
        <v>3</v>
      </c>
      <c r="R739" s="19">
        <v>1</v>
      </c>
      <c r="S739" s="19">
        <v>25</v>
      </c>
      <c r="T739" s="14">
        <v>203000</v>
      </c>
      <c r="U739" s="14">
        <v>250000</v>
      </c>
      <c r="V739" s="14">
        <v>104000</v>
      </c>
      <c r="W739" s="4">
        <f t="shared" si="33"/>
        <v>0.23152709359605911</v>
      </c>
      <c r="Z739" s="11">
        <f t="shared" si="34"/>
        <v>0.41599999999999998</v>
      </c>
      <c r="AA739" s="19">
        <f t="shared" si="35"/>
        <v>146000</v>
      </c>
    </row>
    <row r="740" spans="2:27" x14ac:dyDescent="0.45">
      <c r="B740" s="7">
        <v>1759</v>
      </c>
      <c r="C740" s="1" t="s">
        <v>22</v>
      </c>
      <c r="D740" s="1" t="s">
        <v>1032</v>
      </c>
      <c r="E740" s="1" t="s">
        <v>1044</v>
      </c>
      <c r="F740" s="1" t="s">
        <v>1036</v>
      </c>
      <c r="G740" s="19">
        <v>12</v>
      </c>
      <c r="H740" s="19">
        <v>35</v>
      </c>
      <c r="I740" s="19">
        <v>35</v>
      </c>
      <c r="J740" s="19">
        <v>42</v>
      </c>
      <c r="K740" s="2" t="s">
        <v>369</v>
      </c>
      <c r="L740" s="2" t="s">
        <v>453</v>
      </c>
      <c r="M740" s="19">
        <v>2019</v>
      </c>
      <c r="N740" s="1" t="s">
        <v>447</v>
      </c>
      <c r="O740" s="19">
        <v>697</v>
      </c>
      <c r="P740" s="1" t="s">
        <v>18</v>
      </c>
      <c r="Q740" s="19">
        <v>3</v>
      </c>
      <c r="R740" s="19">
        <v>2</v>
      </c>
      <c r="S740" s="19">
        <v>33</v>
      </c>
      <c r="T740" s="14">
        <v>182000</v>
      </c>
      <c r="U740" s="14">
        <v>250000</v>
      </c>
      <c r="V740" s="14">
        <v>86700</v>
      </c>
      <c r="W740" s="4">
        <f t="shared" si="33"/>
        <v>0.37362637362637363</v>
      </c>
      <c r="Z740" s="11">
        <f t="shared" si="34"/>
        <v>0.3468</v>
      </c>
      <c r="AA740" s="19">
        <f t="shared" si="35"/>
        <v>163300</v>
      </c>
    </row>
    <row r="741" spans="2:27" x14ac:dyDescent="0.45">
      <c r="B741" s="7">
        <v>1760</v>
      </c>
      <c r="C741" s="1" t="s">
        <v>22</v>
      </c>
      <c r="D741" s="1" t="s">
        <v>1032</v>
      </c>
      <c r="E741" s="1" t="s">
        <v>1044</v>
      </c>
      <c r="F741" s="1" t="s">
        <v>1036</v>
      </c>
      <c r="G741" s="19">
        <v>12</v>
      </c>
      <c r="H741" s="19">
        <v>35</v>
      </c>
      <c r="I741" s="19">
        <v>35</v>
      </c>
      <c r="J741" s="19">
        <v>42</v>
      </c>
      <c r="K741" s="2" t="s">
        <v>369</v>
      </c>
      <c r="L741" s="2" t="s">
        <v>453</v>
      </c>
      <c r="M741" s="19">
        <v>2019</v>
      </c>
      <c r="N741" s="1" t="s">
        <v>447</v>
      </c>
      <c r="O741" s="19">
        <v>697</v>
      </c>
      <c r="P741" s="1" t="s">
        <v>18</v>
      </c>
      <c r="Q741" s="19">
        <v>3</v>
      </c>
      <c r="R741" s="19">
        <v>2</v>
      </c>
      <c r="S741" s="19">
        <v>30</v>
      </c>
      <c r="T741" s="14">
        <v>200000</v>
      </c>
      <c r="U741" s="14">
        <v>250000</v>
      </c>
      <c r="V741" s="14">
        <v>98000</v>
      </c>
      <c r="W741" s="4">
        <f t="shared" si="33"/>
        <v>0.25</v>
      </c>
      <c r="Z741" s="11">
        <f t="shared" si="34"/>
        <v>0.39200000000000002</v>
      </c>
      <c r="AA741" s="19">
        <f t="shared" si="35"/>
        <v>152000</v>
      </c>
    </row>
    <row r="742" spans="2:27" x14ac:dyDescent="0.45">
      <c r="B742" s="7">
        <v>1846</v>
      </c>
      <c r="C742" s="1" t="s">
        <v>22</v>
      </c>
      <c r="D742" s="1" t="s">
        <v>1032</v>
      </c>
      <c r="E742" s="1" t="s">
        <v>1070</v>
      </c>
      <c r="F742" s="1" t="s">
        <v>1047</v>
      </c>
      <c r="G742" s="19">
        <v>5</v>
      </c>
      <c r="H742" s="19">
        <v>25</v>
      </c>
      <c r="I742" s="19">
        <v>42</v>
      </c>
      <c r="J742" s="19">
        <v>45</v>
      </c>
      <c r="K742" s="2" t="s">
        <v>151</v>
      </c>
      <c r="L742" s="2" t="s">
        <v>439</v>
      </c>
      <c r="M742" s="19">
        <v>2012</v>
      </c>
      <c r="N742" s="1" t="s">
        <v>447</v>
      </c>
      <c r="O742" s="19">
        <v>794</v>
      </c>
      <c r="P742" s="1" t="s">
        <v>18</v>
      </c>
      <c r="Q742" s="19">
        <v>3</v>
      </c>
      <c r="R742" s="19">
        <v>2</v>
      </c>
      <c r="S742" s="19">
        <v>33</v>
      </c>
      <c r="T742" s="14">
        <v>174000</v>
      </c>
      <c r="U742" s="14">
        <v>250000</v>
      </c>
      <c r="V742" s="14">
        <v>90000</v>
      </c>
      <c r="W742" s="4">
        <f t="shared" si="33"/>
        <v>0.43678160919540232</v>
      </c>
      <c r="Z742" s="11">
        <f t="shared" si="34"/>
        <v>0.36</v>
      </c>
      <c r="AA742" s="19">
        <f t="shared" si="35"/>
        <v>160000</v>
      </c>
    </row>
    <row r="743" spans="2:27" x14ac:dyDescent="0.45">
      <c r="B743" s="7">
        <v>2073</v>
      </c>
      <c r="C743" s="1" t="s">
        <v>32</v>
      </c>
      <c r="D743" s="1" t="s">
        <v>1137</v>
      </c>
      <c r="E743" s="1" t="s">
        <v>1139</v>
      </c>
      <c r="F743" s="1" t="s">
        <v>1140</v>
      </c>
      <c r="G743" s="19">
        <v>4</v>
      </c>
      <c r="H743" s="19">
        <v>30</v>
      </c>
      <c r="I743" s="19">
        <v>18</v>
      </c>
      <c r="J743" s="19">
        <v>20</v>
      </c>
      <c r="K743" s="1" t="s">
        <v>357</v>
      </c>
      <c r="L743" s="2" t="s">
        <v>433</v>
      </c>
      <c r="M743" s="19">
        <v>1999</v>
      </c>
      <c r="N743" s="1" t="s">
        <v>447</v>
      </c>
      <c r="O743" s="19">
        <v>834</v>
      </c>
      <c r="P743" s="1" t="s">
        <v>5</v>
      </c>
      <c r="Q743" s="19">
        <v>3</v>
      </c>
      <c r="R743" s="19">
        <v>1</v>
      </c>
      <c r="S743" s="19">
        <v>25</v>
      </c>
      <c r="T743" s="14">
        <v>180000</v>
      </c>
      <c r="U743" s="14">
        <v>250000</v>
      </c>
      <c r="V743" s="14">
        <v>70000</v>
      </c>
      <c r="W743" s="4">
        <f t="shared" si="33"/>
        <v>0.3888888888888889</v>
      </c>
      <c r="Z743" s="11">
        <f t="shared" si="34"/>
        <v>0.28000000000000003</v>
      </c>
      <c r="AA743" s="19">
        <f t="shared" si="35"/>
        <v>180000</v>
      </c>
    </row>
    <row r="744" spans="2:27" x14ac:dyDescent="0.45">
      <c r="B744" s="7">
        <v>219</v>
      </c>
      <c r="C744" s="1" t="s">
        <v>48</v>
      </c>
      <c r="D744" s="1" t="s">
        <v>508</v>
      </c>
      <c r="E744" s="1" t="s">
        <v>513</v>
      </c>
      <c r="F744" s="1" t="s">
        <v>514</v>
      </c>
      <c r="G744" s="19">
        <v>5</v>
      </c>
      <c r="H744" s="19">
        <v>35</v>
      </c>
      <c r="I744" s="19">
        <v>45</v>
      </c>
      <c r="J744" s="19">
        <v>50</v>
      </c>
      <c r="K744" s="1" t="s">
        <v>334</v>
      </c>
      <c r="L744" s="2" t="s">
        <v>453</v>
      </c>
      <c r="M744" s="19">
        <v>2024</v>
      </c>
      <c r="N744" s="1" t="s">
        <v>434</v>
      </c>
      <c r="O744" s="19">
        <v>12032</v>
      </c>
      <c r="P744" s="1" t="s">
        <v>18</v>
      </c>
      <c r="Q744" s="19">
        <v>3</v>
      </c>
      <c r="R744" s="19">
        <v>2</v>
      </c>
      <c r="S744" s="19">
        <v>25</v>
      </c>
      <c r="T744" s="14">
        <v>0</v>
      </c>
      <c r="U744" s="14">
        <v>259000</v>
      </c>
      <c r="V744" s="14">
        <v>105000</v>
      </c>
      <c r="W744" s="4" t="e">
        <f t="shared" si="33"/>
        <v>#DIV/0!</v>
      </c>
      <c r="Z744" s="11">
        <f t="shared" si="34"/>
        <v>0.40540540540540543</v>
      </c>
      <c r="AA744" s="19">
        <f t="shared" si="35"/>
        <v>154000</v>
      </c>
    </row>
    <row r="745" spans="2:27" x14ac:dyDescent="0.45">
      <c r="B745" s="7">
        <v>971</v>
      </c>
      <c r="C745" s="1" t="s">
        <v>421</v>
      </c>
      <c r="D745" s="1" t="s">
        <v>816</v>
      </c>
      <c r="E745" s="1" t="s">
        <v>826</v>
      </c>
      <c r="F745" s="1" t="s">
        <v>822</v>
      </c>
      <c r="G745" s="19">
        <v>3</v>
      </c>
      <c r="H745" s="19">
        <v>20</v>
      </c>
      <c r="I745" s="19">
        <v>13</v>
      </c>
      <c r="J745" s="19">
        <v>23</v>
      </c>
      <c r="K745" s="2" t="s">
        <v>422</v>
      </c>
      <c r="L745" s="2" t="s">
        <v>433</v>
      </c>
      <c r="M745" s="19">
        <v>1988</v>
      </c>
      <c r="N745" s="1" t="s">
        <v>447</v>
      </c>
      <c r="O745" s="19">
        <v>660</v>
      </c>
      <c r="P745" s="1" t="s">
        <v>18</v>
      </c>
      <c r="Q745" s="19">
        <v>3</v>
      </c>
      <c r="R745" s="19">
        <v>1</v>
      </c>
      <c r="S745" s="19">
        <v>30</v>
      </c>
      <c r="T745" s="14">
        <v>164000</v>
      </c>
      <c r="U745" s="14">
        <v>259000</v>
      </c>
      <c r="V745" s="14">
        <v>65000</v>
      </c>
      <c r="W745" s="4">
        <f t="shared" si="33"/>
        <v>0.57926829268292679</v>
      </c>
      <c r="Z745" s="11">
        <f t="shared" si="34"/>
        <v>0.25096525096525096</v>
      </c>
      <c r="AA745" s="19">
        <f t="shared" si="35"/>
        <v>194000</v>
      </c>
    </row>
    <row r="746" spans="2:27" x14ac:dyDescent="0.45">
      <c r="B746" s="7">
        <v>1466</v>
      </c>
      <c r="C746" s="1" t="s">
        <v>8</v>
      </c>
      <c r="D746" s="1" t="s">
        <v>964</v>
      </c>
      <c r="E746" s="1" t="s">
        <v>965</v>
      </c>
      <c r="F746" s="1" t="s">
        <v>966</v>
      </c>
      <c r="G746" s="19">
        <v>5</v>
      </c>
      <c r="H746" s="19">
        <v>28</v>
      </c>
      <c r="I746" s="19">
        <v>30</v>
      </c>
      <c r="J746" s="19">
        <v>25</v>
      </c>
      <c r="K746" s="1" t="s">
        <v>432</v>
      </c>
      <c r="L746" s="2" t="s">
        <v>453</v>
      </c>
      <c r="M746" s="19">
        <v>2018</v>
      </c>
      <c r="N746" s="1" t="s">
        <v>447</v>
      </c>
      <c r="O746" s="19">
        <v>606</v>
      </c>
      <c r="P746" s="1" t="s">
        <v>18</v>
      </c>
      <c r="Q746" s="19">
        <v>3</v>
      </c>
      <c r="R746" s="19">
        <v>2</v>
      </c>
      <c r="S746" s="19">
        <v>33</v>
      </c>
      <c r="T746" s="14">
        <v>202000</v>
      </c>
      <c r="U746" s="14">
        <v>259000</v>
      </c>
      <c r="V746" s="14">
        <v>100000</v>
      </c>
      <c r="W746" s="4">
        <f t="shared" si="33"/>
        <v>0.28217821782178215</v>
      </c>
      <c r="Z746" s="11">
        <f t="shared" si="34"/>
        <v>0.38610038610038611</v>
      </c>
      <c r="AA746" s="19">
        <f t="shared" si="35"/>
        <v>159000</v>
      </c>
    </row>
    <row r="747" spans="2:27" x14ac:dyDescent="0.45">
      <c r="B747" s="7">
        <v>1138</v>
      </c>
      <c r="C747" s="1" t="s">
        <v>869</v>
      </c>
      <c r="D747" s="1" t="s">
        <v>866</v>
      </c>
      <c r="E747" s="1" t="s">
        <v>876</v>
      </c>
      <c r="F747" s="1" t="s">
        <v>868</v>
      </c>
      <c r="G747" s="19">
        <v>8</v>
      </c>
      <c r="H747" s="19">
        <v>38</v>
      </c>
      <c r="I747" s="19">
        <v>18</v>
      </c>
      <c r="J747" s="19">
        <v>20</v>
      </c>
      <c r="K747" s="1" t="s">
        <v>309</v>
      </c>
      <c r="L747" s="2" t="s">
        <v>453</v>
      </c>
      <c r="M747" s="19">
        <v>2019</v>
      </c>
      <c r="N747" s="1" t="s">
        <v>434</v>
      </c>
      <c r="O747" s="19">
        <v>1015</v>
      </c>
      <c r="P747" s="1" t="s">
        <v>18</v>
      </c>
      <c r="Q747" s="19">
        <v>3</v>
      </c>
      <c r="R747" s="19">
        <v>2</v>
      </c>
      <c r="S747" s="19">
        <v>33</v>
      </c>
      <c r="T747" s="14">
        <v>217000</v>
      </c>
      <c r="U747" s="14">
        <v>260000</v>
      </c>
      <c r="V747" s="14">
        <v>115000</v>
      </c>
      <c r="W747" s="4">
        <f t="shared" si="33"/>
        <v>0.19815668202764977</v>
      </c>
      <c r="Z747" s="11">
        <f t="shared" si="34"/>
        <v>0.44230769230769229</v>
      </c>
      <c r="AA747" s="19">
        <f t="shared" si="35"/>
        <v>145000</v>
      </c>
    </row>
    <row r="748" spans="2:27" x14ac:dyDescent="0.45">
      <c r="B748" s="7">
        <v>2079</v>
      </c>
      <c r="C748" s="1" t="s">
        <v>32</v>
      </c>
      <c r="D748" s="1" t="s">
        <v>1137</v>
      </c>
      <c r="E748" s="1" t="s">
        <v>1141</v>
      </c>
      <c r="F748" s="1" t="s">
        <v>1140</v>
      </c>
      <c r="G748" s="19">
        <v>3</v>
      </c>
      <c r="H748" s="19">
        <v>30</v>
      </c>
      <c r="I748" s="19">
        <v>18</v>
      </c>
      <c r="J748" s="19">
        <v>20</v>
      </c>
      <c r="K748" s="1" t="s">
        <v>356</v>
      </c>
      <c r="L748" s="2" t="s">
        <v>433</v>
      </c>
      <c r="M748" s="19">
        <v>1998</v>
      </c>
      <c r="N748" s="1" t="s">
        <v>434</v>
      </c>
      <c r="O748" s="19">
        <v>2036</v>
      </c>
      <c r="P748" s="1" t="s">
        <v>5</v>
      </c>
      <c r="Q748" s="19">
        <v>3</v>
      </c>
      <c r="R748" s="19">
        <v>1</v>
      </c>
      <c r="S748" s="19">
        <v>25</v>
      </c>
      <c r="T748" s="14">
        <v>190000</v>
      </c>
      <c r="U748" s="14">
        <v>260000</v>
      </c>
      <c r="V748" s="14">
        <v>73000</v>
      </c>
      <c r="W748" s="4">
        <f t="shared" si="33"/>
        <v>0.36842105263157893</v>
      </c>
      <c r="Z748" s="11">
        <f t="shared" si="34"/>
        <v>0.28076923076923077</v>
      </c>
      <c r="AA748" s="19">
        <f t="shared" si="35"/>
        <v>187000</v>
      </c>
    </row>
    <row r="749" spans="2:27" x14ac:dyDescent="0.45">
      <c r="B749" s="7">
        <v>2094</v>
      </c>
      <c r="C749" s="1" t="s">
        <v>336</v>
      </c>
      <c r="D749" s="1" t="s">
        <v>1137</v>
      </c>
      <c r="E749" s="1" t="s">
        <v>1144</v>
      </c>
      <c r="F749" s="1" t="s">
        <v>1145</v>
      </c>
      <c r="G749" s="19">
        <v>6</v>
      </c>
      <c r="H749" s="19">
        <v>35</v>
      </c>
      <c r="I749" s="19">
        <v>18</v>
      </c>
      <c r="J749" s="19">
        <v>12</v>
      </c>
      <c r="K749" s="1" t="s">
        <v>1146</v>
      </c>
      <c r="L749" s="2" t="s">
        <v>439</v>
      </c>
      <c r="M749" s="19">
        <v>2011</v>
      </c>
      <c r="N749" s="1" t="s">
        <v>447</v>
      </c>
      <c r="O749" s="19">
        <v>867</v>
      </c>
      <c r="P749" s="1" t="s">
        <v>18</v>
      </c>
      <c r="Q749" s="19">
        <v>3</v>
      </c>
      <c r="R749" s="19">
        <v>2</v>
      </c>
      <c r="S749" s="19">
        <v>33</v>
      </c>
      <c r="T749" s="14">
        <v>210000</v>
      </c>
      <c r="U749" s="14">
        <v>260000</v>
      </c>
      <c r="V749" s="14">
        <v>92000</v>
      </c>
      <c r="W749" s="4">
        <f t="shared" si="33"/>
        <v>0.23809523809523808</v>
      </c>
      <c r="Z749" s="11">
        <f t="shared" si="34"/>
        <v>0.35384615384615387</v>
      </c>
      <c r="AA749" s="19">
        <f t="shared" si="35"/>
        <v>168000</v>
      </c>
    </row>
    <row r="750" spans="2:27" x14ac:dyDescent="0.45">
      <c r="B750" s="7">
        <v>2273</v>
      </c>
      <c r="C750" s="1" t="s">
        <v>45</v>
      </c>
      <c r="D750" s="1" t="s">
        <v>1182</v>
      </c>
      <c r="E750" s="1" t="s">
        <v>1192</v>
      </c>
      <c r="F750" s="1" t="s">
        <v>1190</v>
      </c>
      <c r="G750" s="19">
        <v>6</v>
      </c>
      <c r="H750" s="19">
        <v>45</v>
      </c>
      <c r="I750" s="19">
        <v>30</v>
      </c>
      <c r="J750" s="19">
        <v>10</v>
      </c>
      <c r="K750" s="1" t="s">
        <v>47</v>
      </c>
      <c r="L750" s="2" t="s">
        <v>453</v>
      </c>
      <c r="M750" s="19">
        <v>2017</v>
      </c>
      <c r="N750" s="1" t="s">
        <v>447</v>
      </c>
      <c r="O750" s="19">
        <v>589</v>
      </c>
      <c r="P750" s="1" t="s">
        <v>18</v>
      </c>
      <c r="Q750" s="19">
        <v>3</v>
      </c>
      <c r="R750" s="19">
        <v>2</v>
      </c>
      <c r="S750" s="19">
        <v>31</v>
      </c>
      <c r="T750" s="14">
        <v>181000</v>
      </c>
      <c r="U750" s="14">
        <v>260000</v>
      </c>
      <c r="V750" s="14">
        <v>105000</v>
      </c>
      <c r="W750" s="4">
        <f t="shared" si="33"/>
        <v>0.43646408839779005</v>
      </c>
      <c r="Z750" s="11">
        <f t="shared" si="34"/>
        <v>0.40384615384615385</v>
      </c>
      <c r="AA750" s="19">
        <f t="shared" si="35"/>
        <v>155000</v>
      </c>
    </row>
    <row r="751" spans="2:27" x14ac:dyDescent="0.45">
      <c r="B751" s="7">
        <v>2276</v>
      </c>
      <c r="C751" s="1" t="s">
        <v>45</v>
      </c>
      <c r="D751" s="1" t="s">
        <v>1182</v>
      </c>
      <c r="E751" s="1" t="s">
        <v>1193</v>
      </c>
      <c r="F751" s="1" t="s">
        <v>1190</v>
      </c>
      <c r="G751" s="19">
        <v>5</v>
      </c>
      <c r="H751" s="19">
        <v>45</v>
      </c>
      <c r="I751" s="19">
        <v>30</v>
      </c>
      <c r="J751" s="19">
        <v>10</v>
      </c>
      <c r="K751" s="1" t="s">
        <v>46</v>
      </c>
      <c r="L751" s="2" t="s">
        <v>453</v>
      </c>
      <c r="M751" s="19">
        <v>2017</v>
      </c>
      <c r="N751" s="1" t="s">
        <v>434</v>
      </c>
      <c r="O751" s="19">
        <v>1148</v>
      </c>
      <c r="P751" s="1" t="s">
        <v>18</v>
      </c>
      <c r="Q751" s="19">
        <v>3</v>
      </c>
      <c r="R751" s="19">
        <v>2</v>
      </c>
      <c r="S751" s="19">
        <v>31</v>
      </c>
      <c r="T751" s="14">
        <v>190500</v>
      </c>
      <c r="U751" s="14">
        <v>260000</v>
      </c>
      <c r="V751" s="14">
        <v>120000</v>
      </c>
      <c r="W751" s="4">
        <f t="shared" si="33"/>
        <v>0.3648293963254593</v>
      </c>
      <c r="Z751" s="11">
        <f t="shared" si="34"/>
        <v>0.46153846153846156</v>
      </c>
      <c r="AA751" s="19">
        <f t="shared" si="35"/>
        <v>140000</v>
      </c>
    </row>
    <row r="752" spans="2:27" x14ac:dyDescent="0.45">
      <c r="B752" s="7">
        <v>1196</v>
      </c>
      <c r="C752" s="1" t="s">
        <v>10</v>
      </c>
      <c r="D752" s="1" t="s">
        <v>866</v>
      </c>
      <c r="E752" s="1" t="s">
        <v>881</v>
      </c>
      <c r="F752" s="1" t="s">
        <v>882</v>
      </c>
      <c r="G752" s="19">
        <v>6</v>
      </c>
      <c r="H752" s="19">
        <v>40</v>
      </c>
      <c r="I752" s="19">
        <v>20</v>
      </c>
      <c r="J752" s="19">
        <v>12</v>
      </c>
      <c r="K752" s="1" t="s">
        <v>173</v>
      </c>
      <c r="L752" s="2" t="s">
        <v>439</v>
      </c>
      <c r="M752" s="19">
        <v>2014</v>
      </c>
      <c r="N752" s="1" t="s">
        <v>434</v>
      </c>
      <c r="O752" s="19">
        <v>3885</v>
      </c>
      <c r="P752" s="1" t="s">
        <v>18</v>
      </c>
      <c r="Q752" s="19">
        <v>3</v>
      </c>
      <c r="R752" s="19">
        <v>2</v>
      </c>
      <c r="S752" s="19">
        <v>33</v>
      </c>
      <c r="T752" s="14">
        <v>194500</v>
      </c>
      <c r="U752" s="14">
        <v>263000</v>
      </c>
      <c r="V752" s="14">
        <v>100000</v>
      </c>
      <c r="W752" s="4">
        <f t="shared" si="33"/>
        <v>0.35218508997429304</v>
      </c>
      <c r="Z752" s="11">
        <f t="shared" si="34"/>
        <v>0.38022813688212925</v>
      </c>
      <c r="AA752" s="19">
        <f t="shared" si="35"/>
        <v>163000</v>
      </c>
    </row>
    <row r="753" spans="2:27" x14ac:dyDescent="0.45">
      <c r="B753" s="7">
        <v>1585</v>
      </c>
      <c r="C753" s="1" t="s">
        <v>19</v>
      </c>
      <c r="D753" s="1" t="s">
        <v>964</v>
      </c>
      <c r="E753" s="1" t="s">
        <v>993</v>
      </c>
      <c r="F753" s="1" t="s">
        <v>996</v>
      </c>
      <c r="G753" s="19">
        <v>3</v>
      </c>
      <c r="H753" s="19">
        <v>20</v>
      </c>
      <c r="I753" s="19">
        <v>28</v>
      </c>
      <c r="J753" s="19">
        <v>22</v>
      </c>
      <c r="K753" s="1" t="s">
        <v>997</v>
      </c>
      <c r="L753" s="2" t="s">
        <v>453</v>
      </c>
      <c r="M753" s="19">
        <v>2016</v>
      </c>
      <c r="N753" s="1" t="s">
        <v>434</v>
      </c>
      <c r="O753" s="19">
        <v>1976</v>
      </c>
      <c r="P753" s="1" t="s">
        <v>18</v>
      </c>
      <c r="Q753" s="19">
        <v>3</v>
      </c>
      <c r="R753" s="19">
        <v>2</v>
      </c>
      <c r="S753" s="19">
        <v>33</v>
      </c>
      <c r="T753" s="14">
        <v>209000</v>
      </c>
      <c r="U753" s="14">
        <v>264500</v>
      </c>
      <c r="V753" s="14">
        <v>106500</v>
      </c>
      <c r="W753" s="4">
        <f t="shared" si="33"/>
        <v>0.26555023923444976</v>
      </c>
      <c r="Z753" s="11">
        <f t="shared" si="34"/>
        <v>0.40264650283553877</v>
      </c>
      <c r="AA753" s="19">
        <f t="shared" si="35"/>
        <v>158000</v>
      </c>
    </row>
    <row r="754" spans="2:27" x14ac:dyDescent="0.45">
      <c r="B754" s="7">
        <v>1552</v>
      </c>
      <c r="C754" s="1" t="s">
        <v>19</v>
      </c>
      <c r="D754" s="1" t="s">
        <v>964</v>
      </c>
      <c r="E754" s="1" t="s">
        <v>988</v>
      </c>
      <c r="F754" s="1" t="s">
        <v>977</v>
      </c>
      <c r="G754" s="19">
        <v>5</v>
      </c>
      <c r="H754" s="19">
        <v>22</v>
      </c>
      <c r="I754" s="19">
        <v>28</v>
      </c>
      <c r="J754" s="19">
        <v>25</v>
      </c>
      <c r="K754" s="1" t="s">
        <v>156</v>
      </c>
      <c r="L754" s="2" t="s">
        <v>439</v>
      </c>
      <c r="M754" s="19">
        <v>2012</v>
      </c>
      <c r="N754" s="1" t="s">
        <v>434</v>
      </c>
      <c r="O754" s="19">
        <v>1511</v>
      </c>
      <c r="P754" s="1" t="s">
        <v>18</v>
      </c>
      <c r="Q754" s="19">
        <v>3</v>
      </c>
      <c r="R754" s="19">
        <v>2</v>
      </c>
      <c r="S754" s="19">
        <v>33</v>
      </c>
      <c r="T754" s="14">
        <v>210000</v>
      </c>
      <c r="U754" s="14">
        <v>265000</v>
      </c>
      <c r="V754" s="14">
        <v>100000</v>
      </c>
      <c r="W754" s="4">
        <f t="shared" si="33"/>
        <v>0.26190476190476192</v>
      </c>
      <c r="Z754" s="11">
        <f t="shared" si="34"/>
        <v>0.37735849056603776</v>
      </c>
      <c r="AA754" s="19">
        <f t="shared" si="35"/>
        <v>165000</v>
      </c>
    </row>
    <row r="755" spans="2:27" x14ac:dyDescent="0.45">
      <c r="B755" s="7">
        <v>2072</v>
      </c>
      <c r="C755" s="1" t="s">
        <v>32</v>
      </c>
      <c r="D755" s="1" t="s">
        <v>1137</v>
      </c>
      <c r="E755" s="1" t="s">
        <v>1139</v>
      </c>
      <c r="F755" s="1" t="s">
        <v>1140</v>
      </c>
      <c r="G755" s="19">
        <v>4</v>
      </c>
      <c r="H755" s="19">
        <v>30</v>
      </c>
      <c r="I755" s="19">
        <v>18</v>
      </c>
      <c r="J755" s="19">
        <v>20</v>
      </c>
      <c r="K755" s="1" t="s">
        <v>357</v>
      </c>
      <c r="L755" s="2" t="s">
        <v>433</v>
      </c>
      <c r="M755" s="19">
        <v>1999</v>
      </c>
      <c r="N755" s="1" t="s">
        <v>447</v>
      </c>
      <c r="O755" s="19">
        <v>834</v>
      </c>
      <c r="P755" s="1" t="s">
        <v>18</v>
      </c>
      <c r="Q755" s="19">
        <v>3</v>
      </c>
      <c r="R755" s="19">
        <v>2</v>
      </c>
      <c r="S755" s="19">
        <v>33</v>
      </c>
      <c r="T755" s="14">
        <v>227000</v>
      </c>
      <c r="U755" s="14">
        <v>265000</v>
      </c>
      <c r="V755" s="14">
        <v>100000</v>
      </c>
      <c r="W755" s="4">
        <f t="shared" si="33"/>
        <v>0.16740088105726872</v>
      </c>
      <c r="Z755" s="11">
        <f t="shared" si="34"/>
        <v>0.37735849056603776</v>
      </c>
      <c r="AA755" s="19">
        <f t="shared" si="35"/>
        <v>165000</v>
      </c>
    </row>
    <row r="756" spans="2:27" x14ac:dyDescent="0.45">
      <c r="B756" s="7">
        <v>969</v>
      </c>
      <c r="C756" s="1" t="s">
        <v>421</v>
      </c>
      <c r="D756" s="1" t="s">
        <v>816</v>
      </c>
      <c r="E756" s="1" t="s">
        <v>825</v>
      </c>
      <c r="F756" s="1" t="s">
        <v>822</v>
      </c>
      <c r="G756" s="19">
        <v>3</v>
      </c>
      <c r="H756" s="19">
        <v>18</v>
      </c>
      <c r="I756" s="19">
        <v>11</v>
      </c>
      <c r="J756" s="19">
        <v>21</v>
      </c>
      <c r="K756" s="2" t="s">
        <v>423</v>
      </c>
      <c r="L756" s="2" t="s">
        <v>453</v>
      </c>
      <c r="M756" s="19">
        <v>2019</v>
      </c>
      <c r="N756" s="1" t="s">
        <v>434</v>
      </c>
      <c r="O756" s="19">
        <v>1073</v>
      </c>
      <c r="P756" s="1" t="s">
        <v>18</v>
      </c>
      <c r="Q756" s="19">
        <v>3</v>
      </c>
      <c r="R756" s="19">
        <v>2</v>
      </c>
      <c r="S756" s="19">
        <v>24</v>
      </c>
      <c r="T756" s="14">
        <v>181000</v>
      </c>
      <c r="U756" s="14">
        <v>268000</v>
      </c>
      <c r="V756" s="14">
        <v>83000</v>
      </c>
      <c r="W756" s="4">
        <f t="shared" si="33"/>
        <v>0.48066298342541436</v>
      </c>
      <c r="Z756" s="11">
        <f t="shared" si="34"/>
        <v>0.30970149253731344</v>
      </c>
      <c r="AA756" s="19">
        <f t="shared" si="35"/>
        <v>185000</v>
      </c>
    </row>
    <row r="757" spans="2:27" x14ac:dyDescent="0.45">
      <c r="B757" s="7">
        <v>1812</v>
      </c>
      <c r="C757" s="1" t="s">
        <v>308</v>
      </c>
      <c r="D757" s="1" t="s">
        <v>1032</v>
      </c>
      <c r="E757" s="1" t="s">
        <v>1057</v>
      </c>
      <c r="F757" s="1" t="s">
        <v>1058</v>
      </c>
      <c r="G757" s="19">
        <v>5</v>
      </c>
      <c r="H757" s="19">
        <v>25</v>
      </c>
      <c r="I757" s="19">
        <v>35</v>
      </c>
      <c r="J757" s="19">
        <v>38</v>
      </c>
      <c r="K757" s="2" t="s">
        <v>1059</v>
      </c>
      <c r="L757" s="2" t="s">
        <v>439</v>
      </c>
      <c r="M757" s="19">
        <v>2008</v>
      </c>
      <c r="N757" s="1" t="s">
        <v>434</v>
      </c>
      <c r="O757" s="19">
        <v>6864</v>
      </c>
      <c r="P757" s="1" t="s">
        <v>18</v>
      </c>
      <c r="Q757" s="19">
        <v>3</v>
      </c>
      <c r="R757" s="19">
        <v>2</v>
      </c>
      <c r="S757" s="19">
        <v>26</v>
      </c>
      <c r="T757" s="14">
        <v>200000</v>
      </c>
      <c r="U757" s="14">
        <v>270000</v>
      </c>
      <c r="V757" s="14">
        <v>90000</v>
      </c>
      <c r="W757" s="4">
        <f t="shared" si="33"/>
        <v>0.35</v>
      </c>
      <c r="Z757" s="11">
        <f t="shared" si="34"/>
        <v>0.33333333333333331</v>
      </c>
      <c r="AA757" s="19">
        <f t="shared" si="35"/>
        <v>180000</v>
      </c>
    </row>
    <row r="758" spans="2:27" x14ac:dyDescent="0.45">
      <c r="B758" s="7">
        <v>126</v>
      </c>
      <c r="C758" s="1" t="s">
        <v>441</v>
      </c>
      <c r="D758" s="1" t="s">
        <v>436</v>
      </c>
      <c r="E758" s="1" t="s">
        <v>489</v>
      </c>
      <c r="F758" s="1" t="s">
        <v>490</v>
      </c>
      <c r="G758" s="19">
        <v>5</v>
      </c>
      <c r="H758" s="19">
        <v>15</v>
      </c>
      <c r="I758" s="19">
        <v>35</v>
      </c>
      <c r="J758" s="19">
        <v>45</v>
      </c>
      <c r="K758" s="2" t="s">
        <v>110</v>
      </c>
      <c r="L758" s="2" t="s">
        <v>433</v>
      </c>
      <c r="M758" s="19">
        <v>1999</v>
      </c>
      <c r="N758" s="1" t="s">
        <v>447</v>
      </c>
      <c r="O758" s="19">
        <v>630</v>
      </c>
      <c r="P758" s="1" t="s">
        <v>5</v>
      </c>
      <c r="Q758" s="19">
        <v>2</v>
      </c>
      <c r="R758" s="19">
        <v>1</v>
      </c>
      <c r="S758" s="19">
        <v>26</v>
      </c>
      <c r="T758" s="14">
        <v>175000</v>
      </c>
      <c r="U758" s="14">
        <v>275000</v>
      </c>
      <c r="V758" s="14">
        <v>74500</v>
      </c>
      <c r="W758" s="4">
        <f t="shared" si="33"/>
        <v>0.5714285714285714</v>
      </c>
      <c r="Z758" s="11">
        <f t="shared" si="34"/>
        <v>0.27090909090909093</v>
      </c>
      <c r="AA758" s="19">
        <f t="shared" si="35"/>
        <v>200500</v>
      </c>
    </row>
    <row r="759" spans="2:27" x14ac:dyDescent="0.45">
      <c r="B759" s="7">
        <v>1386</v>
      </c>
      <c r="C759" s="1" t="s">
        <v>148</v>
      </c>
      <c r="D759" s="1" t="s">
        <v>929</v>
      </c>
      <c r="E759" s="1" t="s">
        <v>943</v>
      </c>
      <c r="F759" s="1" t="s">
        <v>933</v>
      </c>
      <c r="G759" s="19">
        <v>6</v>
      </c>
      <c r="H759" s="19">
        <v>8</v>
      </c>
      <c r="I759" s="19">
        <v>35</v>
      </c>
      <c r="J759" s="19">
        <v>28</v>
      </c>
      <c r="K759" s="2" t="s">
        <v>264</v>
      </c>
      <c r="L759" s="2" t="s">
        <v>439</v>
      </c>
      <c r="M759" s="19">
        <v>2001</v>
      </c>
      <c r="N759" s="1" t="s">
        <v>440</v>
      </c>
      <c r="O759" s="19">
        <v>299</v>
      </c>
      <c r="P759" s="1" t="s">
        <v>18</v>
      </c>
      <c r="Q759" s="19">
        <v>3</v>
      </c>
      <c r="R759" s="19">
        <v>2</v>
      </c>
      <c r="S759" s="19">
        <v>33</v>
      </c>
      <c r="T759" s="14">
        <v>210000</v>
      </c>
      <c r="U759" s="14">
        <v>275000</v>
      </c>
      <c r="V759" s="14">
        <v>100000</v>
      </c>
      <c r="W759" s="4">
        <f t="shared" si="33"/>
        <v>0.30952380952380953</v>
      </c>
      <c r="Z759" s="11">
        <f t="shared" si="34"/>
        <v>0.36363636363636365</v>
      </c>
      <c r="AA759" s="19">
        <f t="shared" si="35"/>
        <v>175000</v>
      </c>
    </row>
    <row r="760" spans="2:27" x14ac:dyDescent="0.45">
      <c r="B760" s="7">
        <v>1734</v>
      </c>
      <c r="C760" s="1" t="s">
        <v>22</v>
      </c>
      <c r="D760" s="1" t="s">
        <v>1032</v>
      </c>
      <c r="E760" s="1" t="s">
        <v>1034</v>
      </c>
      <c r="F760" s="1" t="s">
        <v>1035</v>
      </c>
      <c r="G760" s="19" t="s">
        <v>1248</v>
      </c>
      <c r="H760" s="19">
        <v>25</v>
      </c>
      <c r="I760" s="19">
        <v>45</v>
      </c>
      <c r="J760" s="19">
        <v>48</v>
      </c>
      <c r="K760" s="2" t="s">
        <v>415</v>
      </c>
      <c r="L760" s="2" t="s">
        <v>453</v>
      </c>
      <c r="M760" s="19">
        <v>2018</v>
      </c>
      <c r="N760" s="1" t="s">
        <v>434</v>
      </c>
      <c r="O760" s="19">
        <v>9510</v>
      </c>
      <c r="P760" s="1" t="s">
        <v>18</v>
      </c>
      <c r="Q760" s="19">
        <v>3</v>
      </c>
      <c r="R760" s="19">
        <v>2</v>
      </c>
      <c r="S760" s="19">
        <v>25</v>
      </c>
      <c r="T760" s="14">
        <v>209000</v>
      </c>
      <c r="U760" s="14">
        <v>278000</v>
      </c>
      <c r="V760" s="14">
        <v>99000</v>
      </c>
      <c r="W760" s="4">
        <f t="shared" si="33"/>
        <v>0.33014354066985646</v>
      </c>
      <c r="Z760" s="11">
        <f t="shared" si="34"/>
        <v>0.35611510791366907</v>
      </c>
      <c r="AA760" s="19">
        <f t="shared" si="35"/>
        <v>179000</v>
      </c>
    </row>
    <row r="761" spans="2:27" x14ac:dyDescent="0.45">
      <c r="B761" s="7">
        <v>10</v>
      </c>
      <c r="C761" s="1" t="s">
        <v>444</v>
      </c>
      <c r="D761" s="1" t="s">
        <v>436</v>
      </c>
      <c r="E761" s="1" t="s">
        <v>445</v>
      </c>
      <c r="F761" s="1" t="s">
        <v>446</v>
      </c>
      <c r="G761" s="19">
        <v>4</v>
      </c>
      <c r="H761" s="19">
        <v>22</v>
      </c>
      <c r="I761" s="19">
        <v>30</v>
      </c>
      <c r="J761" s="19">
        <v>42</v>
      </c>
      <c r="K761" s="2" t="s">
        <v>405</v>
      </c>
      <c r="L761" s="2" t="s">
        <v>439</v>
      </c>
      <c r="M761" s="19">
        <v>2011</v>
      </c>
      <c r="N761" s="1" t="s">
        <v>447</v>
      </c>
      <c r="O761" s="19">
        <v>708</v>
      </c>
      <c r="P761" s="1" t="s">
        <v>5</v>
      </c>
      <c r="Q761" s="19">
        <v>2</v>
      </c>
      <c r="R761" s="19">
        <v>1</v>
      </c>
      <c r="S761" s="19">
        <v>21</v>
      </c>
      <c r="T761" s="14">
        <v>210000</v>
      </c>
      <c r="U761" s="14">
        <v>280000</v>
      </c>
      <c r="V761" s="14">
        <v>90000</v>
      </c>
      <c r="W761" s="4">
        <f t="shared" si="33"/>
        <v>0.33333333333333331</v>
      </c>
      <c r="Z761" s="11">
        <f t="shared" si="34"/>
        <v>0.32142857142857145</v>
      </c>
      <c r="AA761" s="19">
        <f t="shared" si="35"/>
        <v>190000</v>
      </c>
    </row>
    <row r="762" spans="2:27" x14ac:dyDescent="0.45">
      <c r="B762" s="7">
        <v>15</v>
      </c>
      <c r="C762" s="1" t="s">
        <v>442</v>
      </c>
      <c r="D762" s="1" t="s">
        <v>436</v>
      </c>
      <c r="E762" s="1" t="s">
        <v>448</v>
      </c>
      <c r="F762" s="1" t="s">
        <v>449</v>
      </c>
      <c r="G762" s="19">
        <v>3</v>
      </c>
      <c r="H762" s="19">
        <v>28</v>
      </c>
      <c r="I762" s="19">
        <v>52</v>
      </c>
      <c r="J762" s="19">
        <v>50</v>
      </c>
      <c r="K762" s="2" t="s">
        <v>361</v>
      </c>
      <c r="L762" s="2" t="s">
        <v>433</v>
      </c>
      <c r="M762" s="19">
        <v>1994</v>
      </c>
      <c r="N762" s="1" t="s">
        <v>447</v>
      </c>
      <c r="O762" s="19">
        <v>930</v>
      </c>
      <c r="P762" s="1" t="s">
        <v>18</v>
      </c>
      <c r="Q762" s="19">
        <v>3</v>
      </c>
      <c r="R762" s="19">
        <v>2</v>
      </c>
      <c r="S762" s="19">
        <v>31</v>
      </c>
      <c r="T762" s="14">
        <v>209000</v>
      </c>
      <c r="U762" s="14">
        <v>280000</v>
      </c>
      <c r="V762" s="14">
        <v>100000</v>
      </c>
      <c r="W762" s="4">
        <f t="shared" si="33"/>
        <v>0.33971291866028708</v>
      </c>
      <c r="Z762" s="11">
        <f t="shared" si="34"/>
        <v>0.35714285714285715</v>
      </c>
      <c r="AA762" s="19">
        <f t="shared" si="35"/>
        <v>180000</v>
      </c>
    </row>
    <row r="763" spans="2:27" x14ac:dyDescent="0.45">
      <c r="B763" s="7">
        <v>118</v>
      </c>
      <c r="C763" s="1" t="s">
        <v>442</v>
      </c>
      <c r="D763" s="1" t="s">
        <v>436</v>
      </c>
      <c r="E763" s="1" t="s">
        <v>486</v>
      </c>
      <c r="F763" s="1" t="s">
        <v>487</v>
      </c>
      <c r="G763" s="19">
        <v>9</v>
      </c>
      <c r="H763" s="19">
        <v>20</v>
      </c>
      <c r="I763" s="19">
        <v>45</v>
      </c>
      <c r="J763" s="19">
        <v>52</v>
      </c>
      <c r="K763" s="2" t="s">
        <v>488</v>
      </c>
      <c r="L763" s="2" t="s">
        <v>439</v>
      </c>
      <c r="M763" s="19">
        <v>2005</v>
      </c>
      <c r="N763" s="1" t="s">
        <v>440</v>
      </c>
      <c r="O763" s="19">
        <v>348</v>
      </c>
      <c r="P763" s="1" t="s">
        <v>18</v>
      </c>
      <c r="Q763" s="19">
        <v>3</v>
      </c>
      <c r="R763" s="19">
        <v>2</v>
      </c>
      <c r="S763" s="19">
        <v>33</v>
      </c>
      <c r="T763" s="14">
        <v>225000</v>
      </c>
      <c r="U763" s="14">
        <v>280000</v>
      </c>
      <c r="V763" s="14">
        <v>105000</v>
      </c>
      <c r="W763" s="4">
        <f t="shared" si="33"/>
        <v>0.24444444444444444</v>
      </c>
      <c r="Z763" s="11">
        <f t="shared" si="34"/>
        <v>0.375</v>
      </c>
      <c r="AA763" s="19">
        <f t="shared" si="35"/>
        <v>175000</v>
      </c>
    </row>
    <row r="764" spans="2:27" x14ac:dyDescent="0.45">
      <c r="B764" s="7">
        <v>651</v>
      </c>
      <c r="C764" s="1" t="s">
        <v>62</v>
      </c>
      <c r="D764" s="1" t="s">
        <v>626</v>
      </c>
      <c r="E764" s="1" t="s">
        <v>642</v>
      </c>
      <c r="F764" s="1" t="s">
        <v>643</v>
      </c>
      <c r="G764" s="19">
        <v>4</v>
      </c>
      <c r="H764" s="19">
        <v>32</v>
      </c>
      <c r="I764" s="19">
        <v>48</v>
      </c>
      <c r="J764" s="19">
        <v>38</v>
      </c>
      <c r="K764" s="1" t="s">
        <v>67</v>
      </c>
      <c r="L764" s="2" t="s">
        <v>439</v>
      </c>
      <c r="M764" s="19">
        <v>2012</v>
      </c>
      <c r="N764" s="1" t="s">
        <v>440</v>
      </c>
      <c r="O764" s="19">
        <v>453</v>
      </c>
      <c r="P764" s="1" t="s">
        <v>18</v>
      </c>
      <c r="Q764" s="19">
        <v>3</v>
      </c>
      <c r="R764" s="19">
        <v>2</v>
      </c>
      <c r="S764" s="19">
        <v>33</v>
      </c>
      <c r="T764" s="14">
        <v>218000</v>
      </c>
      <c r="U764" s="14">
        <v>280000</v>
      </c>
      <c r="V764" s="14">
        <v>150000</v>
      </c>
      <c r="W764" s="4">
        <f t="shared" si="33"/>
        <v>0.28440366972477066</v>
      </c>
      <c r="Z764" s="11">
        <f t="shared" si="34"/>
        <v>0.5357142857142857</v>
      </c>
      <c r="AA764" s="19">
        <f t="shared" si="35"/>
        <v>130000</v>
      </c>
    </row>
    <row r="765" spans="2:27" x14ac:dyDescent="0.45">
      <c r="B765" s="7">
        <v>970</v>
      </c>
      <c r="C765" s="1" t="s">
        <v>421</v>
      </c>
      <c r="D765" s="1" t="s">
        <v>816</v>
      </c>
      <c r="E765" s="1" t="s">
        <v>825</v>
      </c>
      <c r="F765" s="1" t="s">
        <v>822</v>
      </c>
      <c r="G765" s="19">
        <v>3</v>
      </c>
      <c r="H765" s="19">
        <v>18</v>
      </c>
      <c r="I765" s="19">
        <v>11</v>
      </c>
      <c r="J765" s="19">
        <v>21</v>
      </c>
      <c r="K765" s="2" t="s">
        <v>423</v>
      </c>
      <c r="L765" s="2" t="s">
        <v>453</v>
      </c>
      <c r="M765" s="19">
        <v>2019</v>
      </c>
      <c r="N765" s="1" t="s">
        <v>434</v>
      </c>
      <c r="O765" s="19">
        <v>1073</v>
      </c>
      <c r="P765" s="1" t="s">
        <v>18</v>
      </c>
      <c r="Q765" s="19">
        <v>3</v>
      </c>
      <c r="R765" s="19">
        <v>2</v>
      </c>
      <c r="S765" s="19">
        <v>29</v>
      </c>
      <c r="T765" s="14">
        <v>205000</v>
      </c>
      <c r="U765" s="14">
        <v>280000</v>
      </c>
      <c r="V765" s="14">
        <v>104000</v>
      </c>
      <c r="W765" s="4">
        <f t="shared" si="33"/>
        <v>0.36585365853658536</v>
      </c>
      <c r="Z765" s="11">
        <f t="shared" si="34"/>
        <v>0.37142857142857144</v>
      </c>
      <c r="AA765" s="19">
        <f t="shared" si="35"/>
        <v>176000</v>
      </c>
    </row>
    <row r="766" spans="2:27" x14ac:dyDescent="0.45">
      <c r="B766" s="7">
        <v>1180</v>
      </c>
      <c r="C766" s="1" t="s">
        <v>10</v>
      </c>
      <c r="D766" s="1" t="s">
        <v>866</v>
      </c>
      <c r="E766" s="1" t="s">
        <v>887</v>
      </c>
      <c r="F766" s="1" t="s">
        <v>875</v>
      </c>
      <c r="G766" s="19">
        <v>3</v>
      </c>
      <c r="H766" s="19">
        <v>38</v>
      </c>
      <c r="I766" s="19">
        <v>15</v>
      </c>
      <c r="J766" s="19">
        <v>20</v>
      </c>
      <c r="K766" s="1" t="s">
        <v>176</v>
      </c>
      <c r="L766" s="2" t="s">
        <v>453</v>
      </c>
      <c r="M766" s="19">
        <v>2021</v>
      </c>
      <c r="N766" s="1" t="s">
        <v>434</v>
      </c>
      <c r="O766" s="19">
        <v>1694</v>
      </c>
      <c r="P766" s="1" t="s">
        <v>18</v>
      </c>
      <c r="Q766" s="19">
        <v>3</v>
      </c>
      <c r="R766" s="19">
        <v>2</v>
      </c>
      <c r="S766" s="19">
        <v>33</v>
      </c>
      <c r="T766" s="14">
        <v>199000</v>
      </c>
      <c r="U766" s="14">
        <v>280000</v>
      </c>
      <c r="V766" s="14">
        <v>120000</v>
      </c>
      <c r="W766" s="4">
        <f t="shared" si="33"/>
        <v>0.40703517587939697</v>
      </c>
      <c r="Z766" s="11">
        <f t="shared" si="34"/>
        <v>0.42857142857142855</v>
      </c>
      <c r="AA766" s="19">
        <f t="shared" si="35"/>
        <v>160000</v>
      </c>
    </row>
    <row r="767" spans="2:27" x14ac:dyDescent="0.45">
      <c r="B767" s="7">
        <v>1555</v>
      </c>
      <c r="C767" s="1" t="s">
        <v>8</v>
      </c>
      <c r="D767" s="1" t="s">
        <v>964</v>
      </c>
      <c r="E767" s="1" t="s">
        <v>989</v>
      </c>
      <c r="F767" s="1" t="s">
        <v>968</v>
      </c>
      <c r="G767" s="19">
        <v>5</v>
      </c>
      <c r="H767" s="19">
        <v>30</v>
      </c>
      <c r="I767" s="19">
        <v>25</v>
      </c>
      <c r="J767" s="19">
        <v>18</v>
      </c>
      <c r="K767" s="1" t="s">
        <v>135</v>
      </c>
      <c r="L767" s="2" t="s">
        <v>453</v>
      </c>
      <c r="M767" s="19">
        <v>2025</v>
      </c>
      <c r="N767" s="1" t="s">
        <v>447</v>
      </c>
      <c r="O767" s="19">
        <v>958</v>
      </c>
      <c r="P767" s="1" t="s">
        <v>18</v>
      </c>
      <c r="Q767" s="19">
        <v>3</v>
      </c>
      <c r="R767" s="19">
        <v>2</v>
      </c>
      <c r="S767" s="19">
        <v>33</v>
      </c>
      <c r="T767" s="14">
        <v>0</v>
      </c>
      <c r="U767" s="14">
        <v>280000</v>
      </c>
      <c r="V767" s="14">
        <v>119500</v>
      </c>
      <c r="W767" s="4" t="e">
        <f t="shared" si="33"/>
        <v>#DIV/0!</v>
      </c>
      <c r="Z767" s="11">
        <f t="shared" si="34"/>
        <v>0.42678571428571427</v>
      </c>
      <c r="AA767" s="19">
        <f t="shared" si="35"/>
        <v>160500</v>
      </c>
    </row>
    <row r="768" spans="2:27" x14ac:dyDescent="0.45">
      <c r="B768" s="7">
        <v>1583</v>
      </c>
      <c r="C768" s="1" t="s">
        <v>19</v>
      </c>
      <c r="D768" s="1" t="s">
        <v>964</v>
      </c>
      <c r="E768" s="1" t="s">
        <v>994</v>
      </c>
      <c r="F768" s="1" t="s">
        <v>640</v>
      </c>
      <c r="G768" s="19">
        <v>10</v>
      </c>
      <c r="H768" s="19">
        <v>22</v>
      </c>
      <c r="I768" s="19">
        <v>35</v>
      </c>
      <c r="J768" s="19">
        <v>30</v>
      </c>
      <c r="K768" s="1" t="s">
        <v>995</v>
      </c>
      <c r="L768" s="2" t="s">
        <v>439</v>
      </c>
      <c r="M768" s="19">
        <v>2002</v>
      </c>
      <c r="N768" s="1" t="s">
        <v>447</v>
      </c>
      <c r="O768" s="19">
        <v>580</v>
      </c>
      <c r="P768" s="1" t="s">
        <v>18</v>
      </c>
      <c r="Q768" s="19">
        <v>3</v>
      </c>
      <c r="R768" s="19">
        <v>2</v>
      </c>
      <c r="S768" s="19">
        <v>28</v>
      </c>
      <c r="T768" s="14">
        <v>199500</v>
      </c>
      <c r="U768" s="14">
        <v>280000</v>
      </c>
      <c r="V768" s="14">
        <v>75000</v>
      </c>
      <c r="W768" s="4">
        <f t="shared" si="33"/>
        <v>0.40350877192982454</v>
      </c>
      <c r="Z768" s="11">
        <f t="shared" si="34"/>
        <v>0.26785714285714285</v>
      </c>
      <c r="AA768" s="19">
        <f t="shared" si="35"/>
        <v>205000</v>
      </c>
    </row>
    <row r="769" spans="2:27" x14ac:dyDescent="0.45">
      <c r="B769" s="7">
        <v>2275</v>
      </c>
      <c r="C769" s="1" t="s">
        <v>45</v>
      </c>
      <c r="D769" s="1" t="s">
        <v>1182</v>
      </c>
      <c r="E769" s="1" t="s">
        <v>1192</v>
      </c>
      <c r="F769" s="1" t="s">
        <v>1190</v>
      </c>
      <c r="G769" s="19">
        <v>6</v>
      </c>
      <c r="H769" s="19">
        <v>45</v>
      </c>
      <c r="I769" s="19">
        <v>30</v>
      </c>
      <c r="J769" s="19">
        <v>10</v>
      </c>
      <c r="K769" s="1" t="s">
        <v>47</v>
      </c>
      <c r="L769" s="2" t="s">
        <v>453</v>
      </c>
      <c r="M769" s="19">
        <v>2017</v>
      </c>
      <c r="N769" s="1" t="s">
        <v>447</v>
      </c>
      <c r="O769" s="19">
        <v>589</v>
      </c>
      <c r="P769" s="1" t="s">
        <v>18</v>
      </c>
      <c r="Q769" s="19">
        <v>3</v>
      </c>
      <c r="R769" s="19">
        <v>2</v>
      </c>
      <c r="S769" s="19">
        <v>33</v>
      </c>
      <c r="T769" s="14">
        <v>230000</v>
      </c>
      <c r="U769" s="14">
        <v>280000</v>
      </c>
      <c r="V769" s="14">
        <v>110000</v>
      </c>
      <c r="W769" s="4">
        <f t="shared" si="33"/>
        <v>0.21739130434782608</v>
      </c>
      <c r="Z769" s="11">
        <f t="shared" si="34"/>
        <v>0.39285714285714285</v>
      </c>
      <c r="AA769" s="19">
        <f t="shared" si="35"/>
        <v>170000</v>
      </c>
    </row>
    <row r="770" spans="2:27" x14ac:dyDescent="0.45">
      <c r="B770" s="7">
        <v>2278</v>
      </c>
      <c r="C770" s="1" t="s">
        <v>45</v>
      </c>
      <c r="D770" s="1" t="s">
        <v>1182</v>
      </c>
      <c r="E770" s="1" t="s">
        <v>1193</v>
      </c>
      <c r="F770" s="1" t="s">
        <v>1190</v>
      </c>
      <c r="G770" s="19">
        <v>5</v>
      </c>
      <c r="H770" s="19">
        <v>45</v>
      </c>
      <c r="I770" s="19">
        <v>30</v>
      </c>
      <c r="J770" s="19">
        <v>10</v>
      </c>
      <c r="K770" s="1" t="s">
        <v>46</v>
      </c>
      <c r="L770" s="2" t="s">
        <v>453</v>
      </c>
      <c r="M770" s="19">
        <v>2017</v>
      </c>
      <c r="N770" s="1" t="s">
        <v>434</v>
      </c>
      <c r="O770" s="19">
        <v>1148</v>
      </c>
      <c r="P770" s="1" t="s">
        <v>18</v>
      </c>
      <c r="Q770" s="19">
        <v>3</v>
      </c>
      <c r="R770" s="19">
        <v>2</v>
      </c>
      <c r="S770" s="19">
        <v>33</v>
      </c>
      <c r="T770" s="14">
        <v>221800</v>
      </c>
      <c r="U770" s="14">
        <v>280000</v>
      </c>
      <c r="V770" s="14">
        <v>130000</v>
      </c>
      <c r="W770" s="4">
        <f t="shared" si="33"/>
        <v>0.26239855725879169</v>
      </c>
      <c r="Z770" s="11">
        <f t="shared" si="34"/>
        <v>0.4642857142857143</v>
      </c>
      <c r="AA770" s="19">
        <f t="shared" si="35"/>
        <v>150000</v>
      </c>
    </row>
    <row r="771" spans="2:27" x14ac:dyDescent="0.45">
      <c r="B771" s="7">
        <v>1543</v>
      </c>
      <c r="C771" s="1" t="s">
        <v>8</v>
      </c>
      <c r="D771" s="1" t="s">
        <v>964</v>
      </c>
      <c r="E771" s="1" t="s">
        <v>985</v>
      </c>
      <c r="F771" s="1" t="s">
        <v>968</v>
      </c>
      <c r="G771" s="19">
        <v>10</v>
      </c>
      <c r="H771" s="19">
        <v>30</v>
      </c>
      <c r="I771" s="19">
        <v>28</v>
      </c>
      <c r="J771" s="19">
        <v>22</v>
      </c>
      <c r="K771" s="1" t="s">
        <v>259</v>
      </c>
      <c r="L771" s="2" t="s">
        <v>453</v>
      </c>
      <c r="M771" s="19">
        <v>2018</v>
      </c>
      <c r="N771" s="1" t="s">
        <v>434</v>
      </c>
      <c r="O771" s="19">
        <v>1034</v>
      </c>
      <c r="P771" s="1" t="s">
        <v>18</v>
      </c>
      <c r="Q771" s="19">
        <v>3</v>
      </c>
      <c r="R771" s="19">
        <v>2</v>
      </c>
      <c r="S771" s="19">
        <v>33</v>
      </c>
      <c r="T771" s="14">
        <v>210000</v>
      </c>
      <c r="U771" s="14">
        <v>284500</v>
      </c>
      <c r="V771" s="14">
        <v>101500</v>
      </c>
      <c r="W771" s="4">
        <f t="shared" si="33"/>
        <v>0.35476190476190478</v>
      </c>
      <c r="Z771" s="11">
        <f t="shared" si="34"/>
        <v>0.35676625659050965</v>
      </c>
      <c r="AA771" s="19">
        <f t="shared" si="35"/>
        <v>183000</v>
      </c>
    </row>
    <row r="772" spans="2:27" x14ac:dyDescent="0.45">
      <c r="B772" s="7">
        <v>644</v>
      </c>
      <c r="C772" s="1" t="s">
        <v>72</v>
      </c>
      <c r="D772" s="1" t="s">
        <v>626</v>
      </c>
      <c r="E772" s="1" t="s">
        <v>639</v>
      </c>
      <c r="F772" s="1" t="s">
        <v>640</v>
      </c>
      <c r="G772" s="19">
        <v>7</v>
      </c>
      <c r="H772" s="19">
        <v>18</v>
      </c>
      <c r="I772" s="19">
        <v>32</v>
      </c>
      <c r="J772" s="19">
        <v>32</v>
      </c>
      <c r="K772" s="1" t="s">
        <v>164</v>
      </c>
      <c r="L772" s="2" t="s">
        <v>453</v>
      </c>
      <c r="M772" s="19">
        <v>2023</v>
      </c>
      <c r="N772" s="1" t="s">
        <v>447</v>
      </c>
      <c r="O772" s="19">
        <v>878</v>
      </c>
      <c r="P772" s="1" t="s">
        <v>18</v>
      </c>
      <c r="Q772" s="19">
        <v>3</v>
      </c>
      <c r="R772" s="19">
        <v>2</v>
      </c>
      <c r="S772" s="19">
        <v>33</v>
      </c>
      <c r="T772" s="14">
        <v>0</v>
      </c>
      <c r="U772" s="14">
        <v>285000</v>
      </c>
      <c r="V772" s="14">
        <v>120000</v>
      </c>
      <c r="W772" s="4" t="e">
        <f t="shared" si="33"/>
        <v>#DIV/0!</v>
      </c>
      <c r="Z772" s="11">
        <f t="shared" si="34"/>
        <v>0.42105263157894735</v>
      </c>
      <c r="AA772" s="19">
        <f t="shared" si="35"/>
        <v>165000</v>
      </c>
    </row>
    <row r="773" spans="2:27" x14ac:dyDescent="0.45">
      <c r="B773" s="7">
        <v>2078</v>
      </c>
      <c r="C773" s="1" t="s">
        <v>32</v>
      </c>
      <c r="D773" s="1" t="s">
        <v>1137</v>
      </c>
      <c r="E773" s="1" t="s">
        <v>1141</v>
      </c>
      <c r="F773" s="1" t="s">
        <v>1140</v>
      </c>
      <c r="G773" s="19">
        <v>3</v>
      </c>
      <c r="H773" s="19">
        <v>30</v>
      </c>
      <c r="I773" s="19">
        <v>18</v>
      </c>
      <c r="J773" s="19">
        <v>20</v>
      </c>
      <c r="K773" s="1" t="s">
        <v>356</v>
      </c>
      <c r="L773" s="2" t="s">
        <v>433</v>
      </c>
      <c r="M773" s="19">
        <v>1998</v>
      </c>
      <c r="N773" s="1" t="s">
        <v>434</v>
      </c>
      <c r="O773" s="19">
        <v>2036</v>
      </c>
      <c r="P773" s="1" t="s">
        <v>18</v>
      </c>
      <c r="Q773" s="19">
        <v>3</v>
      </c>
      <c r="R773" s="19">
        <v>2</v>
      </c>
      <c r="S773" s="19">
        <v>33</v>
      </c>
      <c r="T773" s="14">
        <v>240000</v>
      </c>
      <c r="U773" s="14">
        <v>289000</v>
      </c>
      <c r="V773" s="14">
        <v>105000</v>
      </c>
      <c r="W773" s="4">
        <f t="shared" si="33"/>
        <v>0.20416666666666666</v>
      </c>
      <c r="Z773" s="11">
        <f t="shared" si="34"/>
        <v>0.36332179930795849</v>
      </c>
      <c r="AA773" s="19">
        <f t="shared" si="35"/>
        <v>184000</v>
      </c>
    </row>
    <row r="774" spans="2:27" x14ac:dyDescent="0.45">
      <c r="B774" s="7">
        <v>63</v>
      </c>
      <c r="C774" s="1" t="s">
        <v>465</v>
      </c>
      <c r="D774" s="1" t="s">
        <v>458</v>
      </c>
      <c r="E774" s="1" t="s">
        <v>470</v>
      </c>
      <c r="F774" s="1" t="s">
        <v>471</v>
      </c>
      <c r="G774" s="19">
        <v>9</v>
      </c>
      <c r="H774" s="19">
        <v>14</v>
      </c>
      <c r="I774" s="19">
        <v>32</v>
      </c>
      <c r="J774" s="19">
        <v>42</v>
      </c>
      <c r="K774" s="2" t="s">
        <v>472</v>
      </c>
      <c r="L774" s="2" t="s">
        <v>459</v>
      </c>
      <c r="M774" s="19">
        <v>1999</v>
      </c>
      <c r="N774" s="1" t="s">
        <v>440</v>
      </c>
      <c r="O774" s="19">
        <v>391</v>
      </c>
      <c r="P774" s="1" t="s">
        <v>18</v>
      </c>
      <c r="Q774" s="19">
        <v>3</v>
      </c>
      <c r="R774" s="19">
        <v>2</v>
      </c>
      <c r="S774" s="19">
        <v>33</v>
      </c>
      <c r="T774" s="14">
        <v>0</v>
      </c>
      <c r="U774" s="14">
        <v>290000</v>
      </c>
      <c r="V774" s="14">
        <v>90000</v>
      </c>
      <c r="W774" s="4" t="e">
        <f t="shared" ref="W774:W837" si="36">(U774-$T774)/$T774</f>
        <v>#DIV/0!</v>
      </c>
      <c r="Z774" s="11">
        <f t="shared" ref="Z774:Z837" si="37">V774/U774</f>
        <v>0.31034482758620691</v>
      </c>
      <c r="AA774" s="19">
        <f t="shared" ref="AA774:AA837" si="38">U774-V774</f>
        <v>200000</v>
      </c>
    </row>
    <row r="775" spans="2:27" x14ac:dyDescent="0.45">
      <c r="B775" s="7">
        <v>1403</v>
      </c>
      <c r="C775" s="1" t="s">
        <v>147</v>
      </c>
      <c r="D775" s="1" t="s">
        <v>929</v>
      </c>
      <c r="E775" s="1" t="s">
        <v>946</v>
      </c>
      <c r="F775" s="1" t="s">
        <v>933</v>
      </c>
      <c r="G775" s="19">
        <v>8</v>
      </c>
      <c r="H775" s="19">
        <v>15</v>
      </c>
      <c r="I775" s="19">
        <v>32</v>
      </c>
      <c r="J775" s="19">
        <v>25</v>
      </c>
      <c r="K775" s="2" t="s">
        <v>261</v>
      </c>
      <c r="L775" s="2" t="s">
        <v>439</v>
      </c>
      <c r="M775" s="19">
        <v>2010</v>
      </c>
      <c r="N775" s="1" t="s">
        <v>440</v>
      </c>
      <c r="O775" s="19">
        <v>435</v>
      </c>
      <c r="P775" s="1" t="s">
        <v>18</v>
      </c>
      <c r="Q775" s="19">
        <v>3</v>
      </c>
      <c r="R775" s="19">
        <v>2</v>
      </c>
      <c r="S775" s="19">
        <v>24</v>
      </c>
      <c r="T775" s="14">
        <v>195000</v>
      </c>
      <c r="U775" s="14">
        <v>290000</v>
      </c>
      <c r="V775" s="14">
        <v>110000</v>
      </c>
      <c r="W775" s="4">
        <f t="shared" si="36"/>
        <v>0.48717948717948717</v>
      </c>
      <c r="Z775" s="11">
        <f t="shared" si="37"/>
        <v>0.37931034482758619</v>
      </c>
      <c r="AA775" s="19">
        <f t="shared" si="38"/>
        <v>180000</v>
      </c>
    </row>
    <row r="776" spans="2:27" x14ac:dyDescent="0.45">
      <c r="B776" s="7">
        <v>1406</v>
      </c>
      <c r="C776" s="1" t="s">
        <v>147</v>
      </c>
      <c r="D776" s="1" t="s">
        <v>929</v>
      </c>
      <c r="E776" s="1" t="s">
        <v>947</v>
      </c>
      <c r="F776" s="1" t="s">
        <v>948</v>
      </c>
      <c r="G776" s="19">
        <v>5</v>
      </c>
      <c r="H776" s="19">
        <v>22</v>
      </c>
      <c r="I776" s="19">
        <v>28</v>
      </c>
      <c r="J776" s="19">
        <v>35</v>
      </c>
      <c r="K776" s="2" t="s">
        <v>949</v>
      </c>
      <c r="L776" s="2" t="s">
        <v>439</v>
      </c>
      <c r="M776" s="19">
        <v>2001</v>
      </c>
      <c r="N776" s="1" t="s">
        <v>440</v>
      </c>
      <c r="O776" s="19">
        <v>384</v>
      </c>
      <c r="P776" s="1" t="s">
        <v>18</v>
      </c>
      <c r="Q776" s="19">
        <v>3</v>
      </c>
      <c r="R776" s="19">
        <v>2</v>
      </c>
      <c r="S776" s="19">
        <v>33</v>
      </c>
      <c r="T776" s="14">
        <v>212000</v>
      </c>
      <c r="U776" s="14">
        <v>290000</v>
      </c>
      <c r="V776" s="14">
        <v>105000</v>
      </c>
      <c r="W776" s="4">
        <f t="shared" si="36"/>
        <v>0.36792452830188677</v>
      </c>
      <c r="Z776" s="11">
        <f t="shared" si="37"/>
        <v>0.36206896551724138</v>
      </c>
      <c r="AA776" s="19">
        <f t="shared" si="38"/>
        <v>185000</v>
      </c>
    </row>
    <row r="777" spans="2:27" x14ac:dyDescent="0.45">
      <c r="B777" s="7">
        <v>1416</v>
      </c>
      <c r="C777" s="1" t="s">
        <v>148</v>
      </c>
      <c r="D777" s="1" t="s">
        <v>929</v>
      </c>
      <c r="E777" s="1" t="s">
        <v>952</v>
      </c>
      <c r="F777" s="1" t="s">
        <v>948</v>
      </c>
      <c r="G777" s="19">
        <v>7</v>
      </c>
      <c r="H777" s="19">
        <v>18</v>
      </c>
      <c r="I777" s="19">
        <v>30</v>
      </c>
      <c r="J777" s="19">
        <v>35</v>
      </c>
      <c r="K777" s="2" t="s">
        <v>210</v>
      </c>
      <c r="L777" s="2" t="s">
        <v>439</v>
      </c>
      <c r="M777" s="19">
        <v>2013</v>
      </c>
      <c r="N777" s="1" t="s">
        <v>447</v>
      </c>
      <c r="O777" s="19">
        <v>744</v>
      </c>
      <c r="P777" s="1" t="s">
        <v>18</v>
      </c>
      <c r="Q777" s="19">
        <v>3</v>
      </c>
      <c r="R777" s="19">
        <v>2</v>
      </c>
      <c r="S777" s="19">
        <v>25</v>
      </c>
      <c r="T777" s="14">
        <v>205000</v>
      </c>
      <c r="U777" s="14">
        <v>290000</v>
      </c>
      <c r="V777" s="14">
        <v>105000</v>
      </c>
      <c r="W777" s="4">
        <f t="shared" si="36"/>
        <v>0.41463414634146339</v>
      </c>
      <c r="Z777" s="11">
        <f t="shared" si="37"/>
        <v>0.36206896551724138</v>
      </c>
      <c r="AA777" s="19">
        <f t="shared" si="38"/>
        <v>185000</v>
      </c>
    </row>
    <row r="778" spans="2:27" x14ac:dyDescent="0.45">
      <c r="B778" s="7">
        <v>1584</v>
      </c>
      <c r="C778" s="1" t="s">
        <v>19</v>
      </c>
      <c r="D778" s="1" t="s">
        <v>964</v>
      </c>
      <c r="E778" s="1" t="s">
        <v>994</v>
      </c>
      <c r="F778" s="1" t="s">
        <v>640</v>
      </c>
      <c r="G778" s="19">
        <v>10</v>
      </c>
      <c r="H778" s="19">
        <v>22</v>
      </c>
      <c r="I778" s="19">
        <v>35</v>
      </c>
      <c r="J778" s="19">
        <v>30</v>
      </c>
      <c r="K778" s="1" t="s">
        <v>995</v>
      </c>
      <c r="L778" s="2" t="s">
        <v>439</v>
      </c>
      <c r="M778" s="19">
        <v>2002</v>
      </c>
      <c r="N778" s="1" t="s">
        <v>447</v>
      </c>
      <c r="O778" s="19">
        <v>580</v>
      </c>
      <c r="P778" s="1" t="s">
        <v>18</v>
      </c>
      <c r="Q778" s="19">
        <v>3</v>
      </c>
      <c r="R778" s="19">
        <v>2</v>
      </c>
      <c r="S778" s="19">
        <v>33</v>
      </c>
      <c r="T778" s="14">
        <v>219000</v>
      </c>
      <c r="U778" s="14">
        <v>290000</v>
      </c>
      <c r="V778" s="14">
        <v>94500</v>
      </c>
      <c r="W778" s="4">
        <f t="shared" si="36"/>
        <v>0.32420091324200911</v>
      </c>
      <c r="Z778" s="11">
        <f t="shared" si="37"/>
        <v>0.32586206896551723</v>
      </c>
      <c r="AA778" s="19">
        <f t="shared" si="38"/>
        <v>195500</v>
      </c>
    </row>
    <row r="779" spans="2:27" x14ac:dyDescent="0.45">
      <c r="B779" s="7">
        <v>1731</v>
      </c>
      <c r="C779" s="1" t="s">
        <v>308</v>
      </c>
      <c r="D779" s="1" t="s">
        <v>1032</v>
      </c>
      <c r="E779" s="1" t="s">
        <v>1034</v>
      </c>
      <c r="F779" s="1" t="s">
        <v>1035</v>
      </c>
      <c r="G779" s="19" t="s">
        <v>1248</v>
      </c>
      <c r="H779" s="19">
        <v>25</v>
      </c>
      <c r="I779" s="19">
        <v>45</v>
      </c>
      <c r="J779" s="19">
        <v>48</v>
      </c>
      <c r="K779" s="2" t="s">
        <v>415</v>
      </c>
      <c r="L779" s="2" t="s">
        <v>453</v>
      </c>
      <c r="M779" s="19">
        <v>2018</v>
      </c>
      <c r="N779" s="1" t="s">
        <v>434</v>
      </c>
      <c r="O779" s="19">
        <v>9510</v>
      </c>
      <c r="P779" s="1" t="s">
        <v>18</v>
      </c>
      <c r="Q779" s="19">
        <v>3</v>
      </c>
      <c r="R779" s="19">
        <v>2</v>
      </c>
      <c r="S779" s="19">
        <v>33</v>
      </c>
      <c r="T779" s="14">
        <v>238000</v>
      </c>
      <c r="U779" s="14">
        <v>290000</v>
      </c>
      <c r="V779" s="14">
        <v>115000</v>
      </c>
      <c r="W779" s="4">
        <f t="shared" si="36"/>
        <v>0.21848739495798319</v>
      </c>
      <c r="Z779" s="11">
        <f t="shared" si="37"/>
        <v>0.39655172413793105</v>
      </c>
      <c r="AA779" s="19">
        <f t="shared" si="38"/>
        <v>175000</v>
      </c>
    </row>
    <row r="780" spans="2:27" x14ac:dyDescent="0.45">
      <c r="B780" s="7">
        <v>1810</v>
      </c>
      <c r="C780" s="1" t="s">
        <v>308</v>
      </c>
      <c r="D780" s="1" t="s">
        <v>1032</v>
      </c>
      <c r="E780" s="1" t="s">
        <v>1057</v>
      </c>
      <c r="F780" s="1" t="s">
        <v>1058</v>
      </c>
      <c r="G780" s="19">
        <v>5</v>
      </c>
      <c r="H780" s="19">
        <v>25</v>
      </c>
      <c r="I780" s="19">
        <v>35</v>
      </c>
      <c r="J780" s="19">
        <v>38</v>
      </c>
      <c r="K780" s="2" t="s">
        <v>1059</v>
      </c>
      <c r="L780" s="2" t="s">
        <v>439</v>
      </c>
      <c r="M780" s="19">
        <v>2008</v>
      </c>
      <c r="N780" s="1" t="s">
        <v>434</v>
      </c>
      <c r="O780" s="19">
        <v>6864</v>
      </c>
      <c r="P780" s="1" t="s">
        <v>18</v>
      </c>
      <c r="Q780" s="19">
        <v>3</v>
      </c>
      <c r="R780" s="19">
        <v>2</v>
      </c>
      <c r="S780" s="19">
        <v>33</v>
      </c>
      <c r="T780" s="14">
        <v>250000</v>
      </c>
      <c r="U780" s="14">
        <v>290000</v>
      </c>
      <c r="V780" s="14">
        <v>100000</v>
      </c>
      <c r="W780" s="4">
        <f t="shared" si="36"/>
        <v>0.16</v>
      </c>
      <c r="Z780" s="11">
        <f t="shared" si="37"/>
        <v>0.34482758620689657</v>
      </c>
      <c r="AA780" s="19">
        <f t="shared" si="38"/>
        <v>190000</v>
      </c>
    </row>
    <row r="781" spans="2:27" x14ac:dyDescent="0.45">
      <c r="B781" s="7">
        <v>1182</v>
      </c>
      <c r="C781" s="1" t="s">
        <v>10</v>
      </c>
      <c r="D781" s="1" t="s">
        <v>866</v>
      </c>
      <c r="E781" s="1" t="s">
        <v>888</v>
      </c>
      <c r="F781" s="1" t="s">
        <v>878</v>
      </c>
      <c r="G781" s="19">
        <v>6</v>
      </c>
      <c r="H781" s="19">
        <v>38</v>
      </c>
      <c r="I781" s="19">
        <v>18</v>
      </c>
      <c r="J781" s="19">
        <v>15</v>
      </c>
      <c r="K781" s="1" t="s">
        <v>175</v>
      </c>
      <c r="L781" s="2" t="s">
        <v>453</v>
      </c>
      <c r="M781" s="19">
        <v>2027</v>
      </c>
      <c r="N781" s="1" t="s">
        <v>434</v>
      </c>
      <c r="O781" s="19">
        <v>1101</v>
      </c>
      <c r="P781" s="1" t="s">
        <v>18</v>
      </c>
      <c r="Q781" s="19">
        <v>3</v>
      </c>
      <c r="R781" s="19">
        <v>2</v>
      </c>
      <c r="S781" s="19">
        <v>33</v>
      </c>
      <c r="T781" s="14">
        <v>0</v>
      </c>
      <c r="U781" s="14">
        <v>290800</v>
      </c>
      <c r="V781" s="14"/>
      <c r="W781" s="4" t="e">
        <f t="shared" si="36"/>
        <v>#DIV/0!</v>
      </c>
      <c r="Z781" s="11">
        <f t="shared" si="37"/>
        <v>0</v>
      </c>
      <c r="AA781" s="19">
        <f t="shared" si="38"/>
        <v>290800</v>
      </c>
    </row>
    <row r="782" spans="2:27" x14ac:dyDescent="0.45">
      <c r="B782" s="7">
        <v>1755</v>
      </c>
      <c r="C782" s="1" t="s">
        <v>308</v>
      </c>
      <c r="D782" s="1" t="s">
        <v>1032</v>
      </c>
      <c r="E782" s="1" t="s">
        <v>1040</v>
      </c>
      <c r="F782" s="1" t="s">
        <v>1041</v>
      </c>
      <c r="G782" s="19">
        <v>4</v>
      </c>
      <c r="H782" s="19">
        <v>22</v>
      </c>
      <c r="I782" s="19">
        <v>35</v>
      </c>
      <c r="J782" s="19">
        <v>38</v>
      </c>
      <c r="K782" s="2" t="s">
        <v>373</v>
      </c>
      <c r="L782" s="2" t="s">
        <v>433</v>
      </c>
      <c r="M782" s="19">
        <v>1979</v>
      </c>
      <c r="N782" s="1" t="s">
        <v>434</v>
      </c>
      <c r="O782" s="19">
        <v>1302</v>
      </c>
      <c r="P782" s="1" t="s">
        <v>18</v>
      </c>
      <c r="Q782" s="19">
        <v>3</v>
      </c>
      <c r="R782" s="19">
        <v>2</v>
      </c>
      <c r="S782" s="19">
        <v>33</v>
      </c>
      <c r="T782" s="14">
        <v>235000</v>
      </c>
      <c r="U782" s="14">
        <v>299000</v>
      </c>
      <c r="V782" s="14">
        <v>60000</v>
      </c>
      <c r="W782" s="4">
        <f t="shared" si="36"/>
        <v>0.2723404255319149</v>
      </c>
      <c r="Z782" s="11">
        <f t="shared" si="37"/>
        <v>0.20066889632107024</v>
      </c>
      <c r="AA782" s="19">
        <f t="shared" si="38"/>
        <v>239000</v>
      </c>
    </row>
    <row r="783" spans="2:27" x14ac:dyDescent="0.45">
      <c r="B783" s="7">
        <v>96</v>
      </c>
      <c r="C783" s="1" t="s">
        <v>441</v>
      </c>
      <c r="D783" s="1" t="s">
        <v>436</v>
      </c>
      <c r="E783" s="1" t="s">
        <v>479</v>
      </c>
      <c r="F783" s="1" t="s">
        <v>477</v>
      </c>
      <c r="G783" s="19">
        <v>5</v>
      </c>
      <c r="H783" s="19">
        <v>22</v>
      </c>
      <c r="I783" s="19">
        <v>45</v>
      </c>
      <c r="J783" s="19">
        <v>50</v>
      </c>
      <c r="K783" s="2" t="s">
        <v>480</v>
      </c>
      <c r="L783" s="2" t="s">
        <v>453</v>
      </c>
      <c r="M783" s="19">
        <v>2023</v>
      </c>
      <c r="N783" s="1" t="s">
        <v>434</v>
      </c>
      <c r="O783" s="19">
        <v>6702</v>
      </c>
      <c r="P783" s="1" t="s">
        <v>18</v>
      </c>
      <c r="Q783" s="19">
        <v>3</v>
      </c>
      <c r="R783" s="19">
        <v>2</v>
      </c>
      <c r="S783" s="19">
        <v>25</v>
      </c>
      <c r="T783" s="14">
        <v>211300</v>
      </c>
      <c r="U783" s="14">
        <v>300000</v>
      </c>
      <c r="V783" s="14">
        <v>114500</v>
      </c>
      <c r="W783" s="4">
        <f t="shared" si="36"/>
        <v>0.41978230004732608</v>
      </c>
      <c r="Z783" s="11">
        <f t="shared" si="37"/>
        <v>0.38166666666666665</v>
      </c>
      <c r="AA783" s="19">
        <f t="shared" si="38"/>
        <v>185500</v>
      </c>
    </row>
    <row r="784" spans="2:27" x14ac:dyDescent="0.45">
      <c r="B784" s="7">
        <v>136</v>
      </c>
      <c r="C784" s="1" t="s">
        <v>444</v>
      </c>
      <c r="D784" s="1" t="s">
        <v>436</v>
      </c>
      <c r="E784" s="1" t="s">
        <v>493</v>
      </c>
      <c r="F784" s="1" t="s">
        <v>490</v>
      </c>
      <c r="G784" s="19">
        <v>8</v>
      </c>
      <c r="H784" s="19">
        <v>17</v>
      </c>
      <c r="I784" s="19">
        <v>37</v>
      </c>
      <c r="J784" s="19">
        <v>47</v>
      </c>
      <c r="K784" s="2" t="s">
        <v>109</v>
      </c>
      <c r="L784" s="2" t="s">
        <v>439</v>
      </c>
      <c r="M784" s="19">
        <v>2000</v>
      </c>
      <c r="N784" s="1" t="s">
        <v>447</v>
      </c>
      <c r="O784" s="19">
        <v>960</v>
      </c>
      <c r="P784" s="1" t="s">
        <v>5</v>
      </c>
      <c r="Q784" s="19">
        <v>3</v>
      </c>
      <c r="R784" s="19">
        <v>1</v>
      </c>
      <c r="S784" s="19">
        <v>25</v>
      </c>
      <c r="T784" s="14">
        <v>187000</v>
      </c>
      <c r="U784" s="14">
        <v>300000</v>
      </c>
      <c r="V784" s="14">
        <v>99500</v>
      </c>
      <c r="W784" s="4">
        <f t="shared" si="36"/>
        <v>0.60427807486631013</v>
      </c>
      <c r="Z784" s="11">
        <f t="shared" si="37"/>
        <v>0.33166666666666667</v>
      </c>
      <c r="AA784" s="19">
        <f t="shared" si="38"/>
        <v>200500</v>
      </c>
    </row>
    <row r="785" spans="2:27" x14ac:dyDescent="0.45">
      <c r="B785" s="7">
        <v>220</v>
      </c>
      <c r="C785" s="1" t="s">
        <v>48</v>
      </c>
      <c r="D785" s="1" t="s">
        <v>508</v>
      </c>
      <c r="E785" s="1" t="s">
        <v>513</v>
      </c>
      <c r="F785" s="1" t="s">
        <v>514</v>
      </c>
      <c r="G785" s="19">
        <v>5</v>
      </c>
      <c r="H785" s="19">
        <v>35</v>
      </c>
      <c r="I785" s="19">
        <v>45</v>
      </c>
      <c r="J785" s="19">
        <v>50</v>
      </c>
      <c r="K785" s="1" t="s">
        <v>334</v>
      </c>
      <c r="L785" s="2" t="s">
        <v>453</v>
      </c>
      <c r="M785" s="19">
        <v>2024</v>
      </c>
      <c r="N785" s="1" t="s">
        <v>434</v>
      </c>
      <c r="O785" s="19">
        <v>12032</v>
      </c>
      <c r="P785" s="1" t="s">
        <v>18</v>
      </c>
      <c r="Q785" s="19">
        <v>3</v>
      </c>
      <c r="R785" s="19">
        <v>2</v>
      </c>
      <c r="S785" s="19">
        <v>33</v>
      </c>
      <c r="T785" s="14">
        <v>0</v>
      </c>
      <c r="U785" s="14">
        <v>300000</v>
      </c>
      <c r="V785" s="14">
        <v>120000</v>
      </c>
      <c r="W785" s="4" t="e">
        <f t="shared" si="36"/>
        <v>#DIV/0!</v>
      </c>
      <c r="Z785" s="11">
        <f t="shared" si="37"/>
        <v>0.4</v>
      </c>
      <c r="AA785" s="19">
        <f t="shared" si="38"/>
        <v>180000</v>
      </c>
    </row>
    <row r="786" spans="2:27" x14ac:dyDescent="0.45">
      <c r="B786" s="7">
        <v>673</v>
      </c>
      <c r="C786" s="1" t="s">
        <v>62</v>
      </c>
      <c r="D786" s="1" t="s">
        <v>626</v>
      </c>
      <c r="E786" s="1" t="s">
        <v>650</v>
      </c>
      <c r="F786" s="1" t="s">
        <v>645</v>
      </c>
      <c r="G786" s="19">
        <v>4</v>
      </c>
      <c r="H786" s="19">
        <v>34</v>
      </c>
      <c r="I786" s="19">
        <v>50</v>
      </c>
      <c r="J786" s="19">
        <v>40</v>
      </c>
      <c r="K786" s="1" t="s">
        <v>63</v>
      </c>
      <c r="L786" s="2" t="s">
        <v>433</v>
      </c>
      <c r="M786" s="19">
        <v>1985</v>
      </c>
      <c r="N786" s="1" t="s">
        <v>440</v>
      </c>
      <c r="O786" s="19">
        <v>448</v>
      </c>
      <c r="P786" s="1" t="s">
        <v>18</v>
      </c>
      <c r="Q786" s="19">
        <v>3</v>
      </c>
      <c r="R786" s="19">
        <v>1</v>
      </c>
      <c r="S786" s="19">
        <v>33</v>
      </c>
      <c r="T786" s="14">
        <v>185000</v>
      </c>
      <c r="U786" s="14">
        <v>300000</v>
      </c>
      <c r="V786" s="14">
        <v>75000</v>
      </c>
      <c r="W786" s="4">
        <f t="shared" si="36"/>
        <v>0.6216216216216216</v>
      </c>
      <c r="Z786" s="11">
        <f t="shared" si="37"/>
        <v>0.25</v>
      </c>
      <c r="AA786" s="19">
        <f t="shared" si="38"/>
        <v>225000</v>
      </c>
    </row>
    <row r="787" spans="2:27" x14ac:dyDescent="0.45">
      <c r="B787" s="7">
        <v>1209</v>
      </c>
      <c r="C787" s="1" t="s">
        <v>10</v>
      </c>
      <c r="D787" s="1" t="s">
        <v>866</v>
      </c>
      <c r="E787" s="1" t="s">
        <v>893</v>
      </c>
      <c r="F787" s="1" t="s">
        <v>874</v>
      </c>
      <c r="G787" s="19">
        <v>5</v>
      </c>
      <c r="H787" s="19">
        <v>40</v>
      </c>
      <c r="I787" s="19">
        <v>15</v>
      </c>
      <c r="J787" s="19">
        <v>20</v>
      </c>
      <c r="K787" s="1" t="s">
        <v>894</v>
      </c>
      <c r="L787" s="2" t="s">
        <v>439</v>
      </c>
      <c r="M787" s="19">
        <v>2015</v>
      </c>
      <c r="N787" s="1" t="s">
        <v>447</v>
      </c>
      <c r="O787" s="19">
        <v>563</v>
      </c>
      <c r="P787" s="1" t="s">
        <v>18</v>
      </c>
      <c r="Q787" s="19">
        <v>3</v>
      </c>
      <c r="R787" s="19">
        <v>2</v>
      </c>
      <c r="S787" s="19">
        <v>33</v>
      </c>
      <c r="T787" s="14">
        <v>224000</v>
      </c>
      <c r="U787" s="14">
        <v>300000</v>
      </c>
      <c r="V787" s="14">
        <v>112000</v>
      </c>
      <c r="W787" s="4">
        <f t="shared" si="36"/>
        <v>0.3392857142857143</v>
      </c>
      <c r="Z787" s="11">
        <f t="shared" si="37"/>
        <v>0.37333333333333335</v>
      </c>
      <c r="AA787" s="19">
        <f t="shared" si="38"/>
        <v>188000</v>
      </c>
    </row>
    <row r="788" spans="2:27" x14ac:dyDescent="0.45">
      <c r="B788" s="7">
        <v>1528</v>
      </c>
      <c r="C788" s="1" t="s">
        <v>19</v>
      </c>
      <c r="D788" s="1" t="s">
        <v>964</v>
      </c>
      <c r="E788" s="1" t="s">
        <v>984</v>
      </c>
      <c r="F788" s="1" t="s">
        <v>640</v>
      </c>
      <c r="G788" s="19">
        <v>8</v>
      </c>
      <c r="H788" s="19">
        <v>25</v>
      </c>
      <c r="I788" s="19">
        <v>35</v>
      </c>
      <c r="J788" s="19">
        <v>30</v>
      </c>
      <c r="K788" s="1" t="s">
        <v>260</v>
      </c>
      <c r="L788" s="2" t="s">
        <v>439</v>
      </c>
      <c r="M788" s="19">
        <v>2009</v>
      </c>
      <c r="N788" s="1" t="s">
        <v>440</v>
      </c>
      <c r="O788" s="19">
        <v>445</v>
      </c>
      <c r="P788" s="1" t="s">
        <v>18</v>
      </c>
      <c r="Q788" s="19">
        <v>3</v>
      </c>
      <c r="R788" s="19">
        <v>2</v>
      </c>
      <c r="S788" s="19">
        <v>35</v>
      </c>
      <c r="T788" s="14">
        <v>234000</v>
      </c>
      <c r="U788" s="14">
        <v>300000</v>
      </c>
      <c r="V788" s="14">
        <v>110000</v>
      </c>
      <c r="W788" s="4">
        <f t="shared" si="36"/>
        <v>0.28205128205128205</v>
      </c>
      <c r="Z788" s="11">
        <f t="shared" si="37"/>
        <v>0.36666666666666664</v>
      </c>
      <c r="AA788" s="19">
        <f t="shared" si="38"/>
        <v>190000</v>
      </c>
    </row>
    <row r="789" spans="2:27" x14ac:dyDescent="0.45">
      <c r="B789" s="7">
        <v>1776</v>
      </c>
      <c r="C789" s="1" t="s">
        <v>308</v>
      </c>
      <c r="D789" s="1" t="s">
        <v>1032</v>
      </c>
      <c r="E789" s="1" t="s">
        <v>1050</v>
      </c>
      <c r="F789" s="1" t="s">
        <v>1051</v>
      </c>
      <c r="G789" s="19">
        <v>3</v>
      </c>
      <c r="H789" s="19">
        <v>15</v>
      </c>
      <c r="I789" s="19">
        <v>32</v>
      </c>
      <c r="J789" s="19">
        <v>38</v>
      </c>
      <c r="K789" s="2" t="s">
        <v>366</v>
      </c>
      <c r="L789" s="2" t="s">
        <v>439</v>
      </c>
      <c r="M789" s="19">
        <v>2008</v>
      </c>
      <c r="N789" s="1" t="s">
        <v>434</v>
      </c>
      <c r="O789" s="19">
        <v>5563</v>
      </c>
      <c r="P789" s="1" t="s">
        <v>18</v>
      </c>
      <c r="Q789" s="19">
        <v>3</v>
      </c>
      <c r="R789" s="19">
        <v>2</v>
      </c>
      <c r="S789" s="19">
        <v>24</v>
      </c>
      <c r="T789" s="14">
        <v>208000</v>
      </c>
      <c r="U789" s="14">
        <v>300000</v>
      </c>
      <c r="V789" s="14">
        <v>110000</v>
      </c>
      <c r="W789" s="4">
        <f t="shared" si="36"/>
        <v>0.44230769230769229</v>
      </c>
      <c r="Z789" s="11">
        <f t="shared" si="37"/>
        <v>0.36666666666666664</v>
      </c>
      <c r="AA789" s="19">
        <f t="shared" si="38"/>
        <v>190000</v>
      </c>
    </row>
    <row r="790" spans="2:27" x14ac:dyDescent="0.45">
      <c r="B790" s="7">
        <v>1773</v>
      </c>
      <c r="C790" s="1" t="s">
        <v>308</v>
      </c>
      <c r="D790" s="1" t="s">
        <v>1032</v>
      </c>
      <c r="E790" s="1" t="s">
        <v>1048</v>
      </c>
      <c r="F790" s="1" t="s">
        <v>1049</v>
      </c>
      <c r="G790" s="19">
        <v>3</v>
      </c>
      <c r="H790" s="19">
        <v>12</v>
      </c>
      <c r="I790" s="19">
        <v>32</v>
      </c>
      <c r="J790" s="19">
        <v>40</v>
      </c>
      <c r="K790" s="2" t="s">
        <v>367</v>
      </c>
      <c r="L790" s="2" t="s">
        <v>439</v>
      </c>
      <c r="M790" s="19">
        <v>2008</v>
      </c>
      <c r="N790" s="1" t="s">
        <v>434</v>
      </c>
      <c r="O790" s="19">
        <v>5678</v>
      </c>
      <c r="P790" s="1" t="s">
        <v>18</v>
      </c>
      <c r="Q790" s="19">
        <v>3</v>
      </c>
      <c r="R790" s="19">
        <v>2</v>
      </c>
      <c r="S790" s="19">
        <v>25</v>
      </c>
      <c r="T790" s="14">
        <v>219000</v>
      </c>
      <c r="U790" s="14">
        <v>302000</v>
      </c>
      <c r="V790" s="14">
        <v>102500</v>
      </c>
      <c r="W790" s="4">
        <f t="shared" si="36"/>
        <v>0.37899543378995432</v>
      </c>
      <c r="Z790" s="11">
        <f t="shared" si="37"/>
        <v>0.33940397350993379</v>
      </c>
      <c r="AA790" s="19">
        <f t="shared" si="38"/>
        <v>199500</v>
      </c>
    </row>
    <row r="791" spans="2:27" x14ac:dyDescent="0.45">
      <c r="B791" s="7">
        <v>1440</v>
      </c>
      <c r="C791" s="1" t="s">
        <v>133</v>
      </c>
      <c r="D791" s="1" t="s">
        <v>929</v>
      </c>
      <c r="E791" s="1" t="s">
        <v>958</v>
      </c>
      <c r="F791" s="1" t="s">
        <v>957</v>
      </c>
      <c r="G791" s="19">
        <v>6</v>
      </c>
      <c r="H791" s="19">
        <v>15</v>
      </c>
      <c r="I791" s="19">
        <v>28</v>
      </c>
      <c r="J791" s="19">
        <v>25</v>
      </c>
      <c r="K791" s="2" t="s">
        <v>207</v>
      </c>
      <c r="L791" s="2" t="s">
        <v>433</v>
      </c>
      <c r="M791" s="19">
        <v>1989</v>
      </c>
      <c r="N791" s="1" t="s">
        <v>440</v>
      </c>
      <c r="O791" s="19">
        <v>435</v>
      </c>
      <c r="P791" s="1" t="s">
        <v>5</v>
      </c>
      <c r="Q791" s="19">
        <v>2</v>
      </c>
      <c r="R791" s="19">
        <v>1</v>
      </c>
      <c r="S791" s="19">
        <v>23</v>
      </c>
      <c r="T791" s="14">
        <v>148500</v>
      </c>
      <c r="U791" s="14">
        <v>305000</v>
      </c>
      <c r="V791" s="14">
        <v>62000</v>
      </c>
      <c r="W791" s="4">
        <f t="shared" si="36"/>
        <v>1.0538720538720538</v>
      </c>
      <c r="Z791" s="11">
        <f t="shared" si="37"/>
        <v>0.20327868852459016</v>
      </c>
      <c r="AA791" s="19">
        <f t="shared" si="38"/>
        <v>243000</v>
      </c>
    </row>
    <row r="792" spans="2:27" x14ac:dyDescent="0.45">
      <c r="B792" s="7">
        <v>116</v>
      </c>
      <c r="C792" s="1" t="s">
        <v>444</v>
      </c>
      <c r="D792" s="1" t="s">
        <v>436</v>
      </c>
      <c r="E792" s="1" t="s">
        <v>485</v>
      </c>
      <c r="F792" s="1" t="s">
        <v>484</v>
      </c>
      <c r="G792" s="19">
        <v>5</v>
      </c>
      <c r="H792" s="19">
        <v>12</v>
      </c>
      <c r="I792" s="19">
        <v>35</v>
      </c>
      <c r="J792" s="19">
        <v>45</v>
      </c>
      <c r="K792" s="2" t="s">
        <v>113</v>
      </c>
      <c r="L792" s="2" t="s">
        <v>439</v>
      </c>
      <c r="M792" s="19">
        <v>2006</v>
      </c>
      <c r="N792" s="1" t="s">
        <v>434</v>
      </c>
      <c r="O792" s="19">
        <v>3002</v>
      </c>
      <c r="P792" s="1" t="s">
        <v>18</v>
      </c>
      <c r="Q792" s="19">
        <v>2</v>
      </c>
      <c r="R792" s="19">
        <v>1</v>
      </c>
      <c r="S792" s="19">
        <v>25</v>
      </c>
      <c r="T792" s="14">
        <v>0</v>
      </c>
      <c r="U792" s="14">
        <v>309000</v>
      </c>
      <c r="V792" s="14">
        <v>95000</v>
      </c>
      <c r="W792" s="4" t="e">
        <f t="shared" si="36"/>
        <v>#DIV/0!</v>
      </c>
      <c r="Z792" s="11">
        <f t="shared" si="37"/>
        <v>0.30744336569579289</v>
      </c>
      <c r="AA792" s="19">
        <f t="shared" si="38"/>
        <v>214000</v>
      </c>
    </row>
    <row r="793" spans="2:27" x14ac:dyDescent="0.45">
      <c r="B793" s="7">
        <v>127</v>
      </c>
      <c r="C793" s="1" t="s">
        <v>441</v>
      </c>
      <c r="D793" s="1" t="s">
        <v>436</v>
      </c>
      <c r="E793" s="1" t="s">
        <v>489</v>
      </c>
      <c r="F793" s="1" t="s">
        <v>490</v>
      </c>
      <c r="G793" s="19">
        <v>5</v>
      </c>
      <c r="H793" s="19">
        <v>15</v>
      </c>
      <c r="I793" s="19">
        <v>35</v>
      </c>
      <c r="J793" s="19">
        <v>45</v>
      </c>
      <c r="K793" s="2" t="s">
        <v>110</v>
      </c>
      <c r="L793" s="2" t="s">
        <v>433</v>
      </c>
      <c r="M793" s="19">
        <v>1999</v>
      </c>
      <c r="N793" s="1" t="s">
        <v>447</v>
      </c>
      <c r="O793" s="19">
        <v>630</v>
      </c>
      <c r="P793" s="1" t="s">
        <v>18</v>
      </c>
      <c r="Q793" s="19">
        <v>3</v>
      </c>
      <c r="R793" s="19">
        <v>2</v>
      </c>
      <c r="S793" s="19">
        <v>33</v>
      </c>
      <c r="T793" s="14">
        <v>246000</v>
      </c>
      <c r="U793" s="14">
        <v>309000</v>
      </c>
      <c r="V793" s="14">
        <v>106500</v>
      </c>
      <c r="W793" s="4">
        <f t="shared" si="36"/>
        <v>0.25609756097560976</v>
      </c>
      <c r="Z793" s="11">
        <f t="shared" si="37"/>
        <v>0.3446601941747573</v>
      </c>
      <c r="AA793" s="19">
        <f t="shared" si="38"/>
        <v>202500</v>
      </c>
    </row>
    <row r="794" spans="2:27" x14ac:dyDescent="0.45">
      <c r="B794" s="7">
        <v>968</v>
      </c>
      <c r="C794" s="1" t="s">
        <v>421</v>
      </c>
      <c r="D794" s="1" t="s">
        <v>816</v>
      </c>
      <c r="E794" s="1" t="s">
        <v>825</v>
      </c>
      <c r="F794" s="1" t="s">
        <v>822</v>
      </c>
      <c r="G794" s="19">
        <v>3</v>
      </c>
      <c r="H794" s="19">
        <v>18</v>
      </c>
      <c r="I794" s="19">
        <v>11</v>
      </c>
      <c r="J794" s="19">
        <v>21</v>
      </c>
      <c r="K794" s="2" t="s">
        <v>423</v>
      </c>
      <c r="L794" s="2" t="s">
        <v>453</v>
      </c>
      <c r="M794" s="19">
        <v>2019</v>
      </c>
      <c r="N794" s="1" t="s">
        <v>434</v>
      </c>
      <c r="O794" s="19">
        <v>1073</v>
      </c>
      <c r="P794" s="1" t="s">
        <v>18</v>
      </c>
      <c r="Q794" s="19">
        <v>3</v>
      </c>
      <c r="R794" s="19">
        <v>2</v>
      </c>
      <c r="S794" s="19">
        <v>34</v>
      </c>
      <c r="T794" s="14">
        <v>254000</v>
      </c>
      <c r="U794" s="14">
        <v>310000</v>
      </c>
      <c r="V794" s="14">
        <v>120000</v>
      </c>
      <c r="W794" s="4">
        <f t="shared" si="36"/>
        <v>0.22047244094488189</v>
      </c>
      <c r="Z794" s="11">
        <f t="shared" si="37"/>
        <v>0.38709677419354838</v>
      </c>
      <c r="AA794" s="19">
        <f t="shared" si="38"/>
        <v>190000</v>
      </c>
    </row>
    <row r="795" spans="2:27" x14ac:dyDescent="0.45">
      <c r="B795" s="7">
        <v>155</v>
      </c>
      <c r="C795" s="1" t="s">
        <v>441</v>
      </c>
      <c r="D795" s="1" t="s">
        <v>436</v>
      </c>
      <c r="E795" s="1" t="s">
        <v>497</v>
      </c>
      <c r="F795" s="1" t="s">
        <v>498</v>
      </c>
      <c r="G795" s="19">
        <v>5</v>
      </c>
      <c r="H795" s="19">
        <v>20</v>
      </c>
      <c r="I795" s="19">
        <v>40</v>
      </c>
      <c r="J795" s="19">
        <v>50</v>
      </c>
      <c r="K795" s="2" t="s">
        <v>41</v>
      </c>
      <c r="L795" s="2" t="s">
        <v>433</v>
      </c>
      <c r="M795" s="19">
        <v>1983</v>
      </c>
      <c r="N795" s="1" t="s">
        <v>434</v>
      </c>
      <c r="O795" s="19">
        <v>1060</v>
      </c>
      <c r="P795" s="1" t="s">
        <v>5</v>
      </c>
      <c r="Q795" s="19">
        <v>2</v>
      </c>
      <c r="R795" s="19">
        <v>1</v>
      </c>
      <c r="S795" s="19">
        <v>20</v>
      </c>
      <c r="T795" s="14">
        <v>200000</v>
      </c>
      <c r="U795" s="14">
        <v>314000</v>
      </c>
      <c r="V795" s="14">
        <v>35000</v>
      </c>
      <c r="W795" s="4">
        <f t="shared" si="36"/>
        <v>0.56999999999999995</v>
      </c>
      <c r="Z795" s="11">
        <f t="shared" si="37"/>
        <v>0.11146496815286625</v>
      </c>
      <c r="AA795" s="19">
        <f t="shared" si="38"/>
        <v>279000</v>
      </c>
    </row>
    <row r="796" spans="2:27" x14ac:dyDescent="0.45">
      <c r="B796" s="7">
        <v>1441</v>
      </c>
      <c r="C796" s="1" t="s">
        <v>133</v>
      </c>
      <c r="D796" s="1" t="s">
        <v>929</v>
      </c>
      <c r="E796" s="1" t="s">
        <v>958</v>
      </c>
      <c r="F796" s="1" t="s">
        <v>957</v>
      </c>
      <c r="G796" s="19">
        <v>6</v>
      </c>
      <c r="H796" s="19">
        <v>15</v>
      </c>
      <c r="I796" s="19">
        <v>28</v>
      </c>
      <c r="J796" s="19">
        <v>25</v>
      </c>
      <c r="K796" s="2" t="s">
        <v>207</v>
      </c>
      <c r="L796" s="2" t="s">
        <v>433</v>
      </c>
      <c r="M796" s="19">
        <v>1989</v>
      </c>
      <c r="N796" s="1" t="s">
        <v>440</v>
      </c>
      <c r="O796" s="19">
        <v>435</v>
      </c>
      <c r="P796" s="1" t="s">
        <v>5</v>
      </c>
      <c r="Q796" s="19">
        <v>3</v>
      </c>
      <c r="R796" s="19">
        <v>1</v>
      </c>
      <c r="S796" s="19">
        <v>28</v>
      </c>
      <c r="T796" s="14">
        <v>233000</v>
      </c>
      <c r="U796" s="14">
        <v>317000</v>
      </c>
      <c r="V796" s="14">
        <v>75000</v>
      </c>
      <c r="W796" s="4">
        <f t="shared" si="36"/>
        <v>0.36051502145922748</v>
      </c>
      <c r="Z796" s="11">
        <f t="shared" si="37"/>
        <v>0.23659305993690852</v>
      </c>
      <c r="AA796" s="19">
        <f t="shared" si="38"/>
        <v>242000</v>
      </c>
    </row>
    <row r="797" spans="2:27" x14ac:dyDescent="0.45">
      <c r="B797" s="7">
        <v>75</v>
      </c>
      <c r="C797" s="1" t="s">
        <v>444</v>
      </c>
      <c r="D797" s="1" t="s">
        <v>436</v>
      </c>
      <c r="E797" s="1" t="s">
        <v>475</v>
      </c>
      <c r="F797" s="1" t="s">
        <v>443</v>
      </c>
      <c r="G797" s="19">
        <v>11</v>
      </c>
      <c r="H797" s="19">
        <v>13</v>
      </c>
      <c r="I797" s="19">
        <v>33</v>
      </c>
      <c r="J797" s="19">
        <v>43</v>
      </c>
      <c r="K797" s="2" t="s">
        <v>237</v>
      </c>
      <c r="L797" s="2" t="s">
        <v>453</v>
      </c>
      <c r="M797" s="19">
        <v>2021</v>
      </c>
      <c r="N797" s="1" t="s">
        <v>447</v>
      </c>
      <c r="O797" s="19">
        <v>679</v>
      </c>
      <c r="P797" s="1" t="s">
        <v>18</v>
      </c>
      <c r="Q797" s="19">
        <v>3</v>
      </c>
      <c r="R797" s="19">
        <v>2</v>
      </c>
      <c r="S797" s="19">
        <v>25</v>
      </c>
      <c r="T797" s="14">
        <v>0</v>
      </c>
      <c r="U797" s="14">
        <v>320000</v>
      </c>
      <c r="V797" s="14">
        <v>124000</v>
      </c>
      <c r="W797" s="4" t="e">
        <f t="shared" si="36"/>
        <v>#DIV/0!</v>
      </c>
      <c r="Z797" s="11">
        <f t="shared" si="37"/>
        <v>0.38750000000000001</v>
      </c>
      <c r="AA797" s="19">
        <f t="shared" si="38"/>
        <v>196000</v>
      </c>
    </row>
    <row r="798" spans="2:27" x14ac:dyDescent="0.45">
      <c r="B798" s="7">
        <v>112</v>
      </c>
      <c r="C798" s="1" t="s">
        <v>441</v>
      </c>
      <c r="D798" s="1" t="s">
        <v>436</v>
      </c>
      <c r="E798" s="1" t="s">
        <v>482</v>
      </c>
      <c r="F798" s="1" t="s">
        <v>454</v>
      </c>
      <c r="G798" s="19">
        <v>5</v>
      </c>
      <c r="H798" s="19">
        <v>11</v>
      </c>
      <c r="I798" s="19">
        <v>33</v>
      </c>
      <c r="J798" s="19">
        <v>42</v>
      </c>
      <c r="K798" s="2" t="s">
        <v>483</v>
      </c>
      <c r="L798" s="2" t="s">
        <v>439</v>
      </c>
      <c r="M798" s="19">
        <v>2001</v>
      </c>
      <c r="N798" s="1" t="s">
        <v>447</v>
      </c>
      <c r="O798" s="19">
        <v>732</v>
      </c>
      <c r="P798" s="1" t="s">
        <v>18</v>
      </c>
      <c r="Q798" s="19">
        <v>3</v>
      </c>
      <c r="R798" s="19">
        <v>1</v>
      </c>
      <c r="S798" s="19">
        <v>24</v>
      </c>
      <c r="T798" s="14">
        <v>214000</v>
      </c>
      <c r="U798" s="14">
        <v>320000</v>
      </c>
      <c r="V798" s="14">
        <v>94500</v>
      </c>
      <c r="W798" s="4">
        <f t="shared" si="36"/>
        <v>0.49532710280373832</v>
      </c>
      <c r="Z798" s="11">
        <f t="shared" si="37"/>
        <v>0.29531249999999998</v>
      </c>
      <c r="AA798" s="19">
        <f t="shared" si="38"/>
        <v>225500</v>
      </c>
    </row>
    <row r="799" spans="2:27" x14ac:dyDescent="0.45">
      <c r="B799" s="7">
        <v>1348</v>
      </c>
      <c r="C799" s="1" t="s">
        <v>147</v>
      </c>
      <c r="D799" s="1" t="s">
        <v>929</v>
      </c>
      <c r="E799" s="1" t="s">
        <v>931</v>
      </c>
      <c r="F799" s="1" t="s">
        <v>932</v>
      </c>
      <c r="G799" s="19">
        <v>3</v>
      </c>
      <c r="H799" s="19">
        <v>15</v>
      </c>
      <c r="I799" s="19">
        <v>22</v>
      </c>
      <c r="J799" s="19">
        <v>28</v>
      </c>
      <c r="K799" s="2" t="s">
        <v>372</v>
      </c>
      <c r="L799" s="2" t="s">
        <v>439</v>
      </c>
      <c r="M799" s="19">
        <v>2002</v>
      </c>
      <c r="N799" s="1" t="s">
        <v>447</v>
      </c>
      <c r="O799" s="19">
        <v>991</v>
      </c>
      <c r="P799" s="1" t="s">
        <v>18</v>
      </c>
      <c r="Q799" s="19">
        <v>3</v>
      </c>
      <c r="R799" s="19">
        <v>1</v>
      </c>
      <c r="S799" s="19">
        <v>25</v>
      </c>
      <c r="T799" s="14">
        <v>227000</v>
      </c>
      <c r="U799" s="14">
        <v>320000</v>
      </c>
      <c r="V799" s="14">
        <v>87000</v>
      </c>
      <c r="W799" s="4">
        <f t="shared" si="36"/>
        <v>0.40969162995594716</v>
      </c>
      <c r="Z799" s="11">
        <f t="shared" si="37"/>
        <v>0.27187499999999998</v>
      </c>
      <c r="AA799" s="19">
        <f t="shared" si="38"/>
        <v>233000</v>
      </c>
    </row>
    <row r="800" spans="2:27" x14ac:dyDescent="0.45">
      <c r="B800" s="7">
        <v>1349</v>
      </c>
      <c r="C800" s="1" t="s">
        <v>147</v>
      </c>
      <c r="D800" s="1" t="s">
        <v>929</v>
      </c>
      <c r="E800" s="1" t="s">
        <v>931</v>
      </c>
      <c r="F800" s="1" t="s">
        <v>932</v>
      </c>
      <c r="G800" s="19">
        <v>3</v>
      </c>
      <c r="H800" s="19">
        <v>15</v>
      </c>
      <c r="I800" s="19">
        <v>22</v>
      </c>
      <c r="J800" s="19">
        <v>28</v>
      </c>
      <c r="K800" s="2" t="s">
        <v>372</v>
      </c>
      <c r="L800" s="2" t="s">
        <v>439</v>
      </c>
      <c r="M800" s="19">
        <v>2002</v>
      </c>
      <c r="N800" s="1" t="s">
        <v>447</v>
      </c>
      <c r="O800" s="19">
        <v>991</v>
      </c>
      <c r="P800" s="1" t="s">
        <v>5</v>
      </c>
      <c r="Q800" s="19">
        <v>3</v>
      </c>
      <c r="R800" s="19">
        <v>1</v>
      </c>
      <c r="S800" s="19">
        <v>25</v>
      </c>
      <c r="T800" s="14">
        <v>217000</v>
      </c>
      <c r="U800" s="14">
        <v>320000</v>
      </c>
      <c r="V800" s="14">
        <v>82000</v>
      </c>
      <c r="W800" s="4">
        <f t="shared" si="36"/>
        <v>0.47465437788018433</v>
      </c>
      <c r="Z800" s="11">
        <f t="shared" si="37"/>
        <v>0.25624999999999998</v>
      </c>
      <c r="AA800" s="19">
        <f t="shared" si="38"/>
        <v>238000</v>
      </c>
    </row>
    <row r="801" spans="2:27" x14ac:dyDescent="0.45">
      <c r="B801" s="7">
        <v>1379</v>
      </c>
      <c r="C801" s="1" t="s">
        <v>147</v>
      </c>
      <c r="D801" s="1" t="s">
        <v>929</v>
      </c>
      <c r="E801" s="1" t="s">
        <v>940</v>
      </c>
      <c r="F801" s="1" t="s">
        <v>933</v>
      </c>
      <c r="G801" s="19">
        <v>5</v>
      </c>
      <c r="H801" s="19">
        <v>10</v>
      </c>
      <c r="I801" s="19">
        <v>32</v>
      </c>
      <c r="J801" s="19">
        <v>25</v>
      </c>
      <c r="K801" s="2" t="s">
        <v>266</v>
      </c>
      <c r="L801" s="2" t="s">
        <v>453</v>
      </c>
      <c r="M801" s="19">
        <v>2017</v>
      </c>
      <c r="N801" s="1" t="s">
        <v>447</v>
      </c>
      <c r="O801" s="19">
        <v>907</v>
      </c>
      <c r="P801" s="1" t="s">
        <v>18</v>
      </c>
      <c r="Q801" s="19">
        <v>3</v>
      </c>
      <c r="R801" s="19">
        <v>2</v>
      </c>
      <c r="S801" s="19">
        <v>24</v>
      </c>
      <c r="T801" s="14">
        <v>220000</v>
      </c>
      <c r="U801" s="14">
        <v>320000</v>
      </c>
      <c r="V801" s="14">
        <v>119000</v>
      </c>
      <c r="W801" s="4">
        <f t="shared" si="36"/>
        <v>0.45454545454545453</v>
      </c>
      <c r="Z801" s="11">
        <f t="shared" si="37"/>
        <v>0.37187500000000001</v>
      </c>
      <c r="AA801" s="19">
        <f t="shared" si="38"/>
        <v>201000</v>
      </c>
    </row>
    <row r="802" spans="2:27" x14ac:dyDescent="0.45">
      <c r="B802" s="7">
        <v>1422</v>
      </c>
      <c r="C802" s="1" t="s">
        <v>147</v>
      </c>
      <c r="D802" s="1" t="s">
        <v>929</v>
      </c>
      <c r="E802" s="1" t="s">
        <v>954</v>
      </c>
      <c r="F802" s="1" t="s">
        <v>953</v>
      </c>
      <c r="G802" s="19">
        <v>5</v>
      </c>
      <c r="H802" s="19">
        <v>20</v>
      </c>
      <c r="I802" s="19">
        <v>40</v>
      </c>
      <c r="J802" s="19">
        <v>42</v>
      </c>
      <c r="K802" s="2" t="s">
        <v>209</v>
      </c>
      <c r="L802" s="2" t="s">
        <v>453</v>
      </c>
      <c r="M802" s="19">
        <v>2021</v>
      </c>
      <c r="N802" s="1" t="s">
        <v>447</v>
      </c>
      <c r="O802" s="19">
        <v>758</v>
      </c>
      <c r="P802" s="1" t="s">
        <v>18</v>
      </c>
      <c r="Q802" s="19">
        <v>3</v>
      </c>
      <c r="R802" s="19">
        <v>2</v>
      </c>
      <c r="S802" s="19">
        <v>23</v>
      </c>
      <c r="T802" s="14">
        <v>0</v>
      </c>
      <c r="U802" s="14">
        <v>320000</v>
      </c>
      <c r="V802" s="14">
        <v>120000</v>
      </c>
      <c r="W802" s="4" t="e">
        <f t="shared" si="36"/>
        <v>#DIV/0!</v>
      </c>
      <c r="Z802" s="11">
        <f t="shared" si="37"/>
        <v>0.375</v>
      </c>
      <c r="AA802" s="19">
        <f t="shared" si="38"/>
        <v>200000</v>
      </c>
    </row>
    <row r="803" spans="2:27" x14ac:dyDescent="0.45">
      <c r="B803" s="7">
        <v>1788</v>
      </c>
      <c r="C803" s="1" t="s">
        <v>308</v>
      </c>
      <c r="D803" s="1" t="s">
        <v>1032</v>
      </c>
      <c r="E803" s="1" t="s">
        <v>1052</v>
      </c>
      <c r="F803" s="1" t="s">
        <v>1053</v>
      </c>
      <c r="G803" s="19" t="s">
        <v>1248</v>
      </c>
      <c r="H803" s="19">
        <v>35</v>
      </c>
      <c r="I803" s="19">
        <v>42</v>
      </c>
      <c r="J803" s="19">
        <v>48</v>
      </c>
      <c r="K803" s="2" t="s">
        <v>333</v>
      </c>
      <c r="L803" s="2" t="s">
        <v>433</v>
      </c>
      <c r="M803" s="19">
        <v>1988</v>
      </c>
      <c r="N803" s="1" t="s">
        <v>434</v>
      </c>
      <c r="O803" s="19">
        <v>5540</v>
      </c>
      <c r="P803" s="1" t="s">
        <v>18</v>
      </c>
      <c r="Q803" s="19">
        <v>3</v>
      </c>
      <c r="R803" s="19">
        <v>1</v>
      </c>
      <c r="S803" s="19">
        <v>33</v>
      </c>
      <c r="T803" s="14">
        <v>247000</v>
      </c>
      <c r="U803" s="14">
        <v>320000</v>
      </c>
      <c r="V803" s="14">
        <v>80000</v>
      </c>
      <c r="W803" s="4">
        <f t="shared" si="36"/>
        <v>0.29554655870445345</v>
      </c>
      <c r="Z803" s="11">
        <f t="shared" si="37"/>
        <v>0.25</v>
      </c>
      <c r="AA803" s="19">
        <f t="shared" si="38"/>
        <v>240000</v>
      </c>
    </row>
    <row r="804" spans="2:27" x14ac:dyDescent="0.45">
      <c r="B804" s="7">
        <v>101</v>
      </c>
      <c r="C804" s="1" t="s">
        <v>441</v>
      </c>
      <c r="D804" s="1" t="s">
        <v>436</v>
      </c>
      <c r="E804" s="1" t="s">
        <v>481</v>
      </c>
      <c r="F804" s="1" t="s">
        <v>449</v>
      </c>
      <c r="G804" s="19">
        <v>6</v>
      </c>
      <c r="H804" s="19">
        <v>24</v>
      </c>
      <c r="I804" s="19">
        <v>44</v>
      </c>
      <c r="J804" s="19">
        <v>51</v>
      </c>
      <c r="K804" s="2" t="s">
        <v>134</v>
      </c>
      <c r="L804" s="2" t="s">
        <v>453</v>
      </c>
      <c r="M804" s="19">
        <v>2021</v>
      </c>
      <c r="N804" s="1" t="s">
        <v>434</v>
      </c>
      <c r="O804" s="19">
        <v>1996</v>
      </c>
      <c r="P804" s="1" t="s">
        <v>18</v>
      </c>
      <c r="Q804" s="19">
        <v>3</v>
      </c>
      <c r="R804" s="19">
        <v>2</v>
      </c>
      <c r="S804" s="19">
        <v>24</v>
      </c>
      <c r="T804" s="14">
        <v>245000</v>
      </c>
      <c r="U804" s="14">
        <v>329000</v>
      </c>
      <c r="V804" s="14">
        <v>134000</v>
      </c>
      <c r="W804" s="4">
        <f t="shared" si="36"/>
        <v>0.34285714285714286</v>
      </c>
      <c r="Z804" s="11">
        <f t="shared" si="37"/>
        <v>0.40729483282674772</v>
      </c>
      <c r="AA804" s="19">
        <f t="shared" si="38"/>
        <v>195000</v>
      </c>
    </row>
    <row r="805" spans="2:27" x14ac:dyDescent="0.45">
      <c r="B805" s="7">
        <v>1415</v>
      </c>
      <c r="C805" s="1" t="s">
        <v>147</v>
      </c>
      <c r="D805" s="1" t="s">
        <v>929</v>
      </c>
      <c r="E805" s="1" t="s">
        <v>952</v>
      </c>
      <c r="F805" s="1" t="s">
        <v>948</v>
      </c>
      <c r="G805" s="19">
        <v>7</v>
      </c>
      <c r="H805" s="19">
        <v>18</v>
      </c>
      <c r="I805" s="19">
        <v>30</v>
      </c>
      <c r="J805" s="19">
        <v>35</v>
      </c>
      <c r="K805" s="2" t="s">
        <v>210</v>
      </c>
      <c r="L805" s="2" t="s">
        <v>439</v>
      </c>
      <c r="M805" s="19">
        <v>2013</v>
      </c>
      <c r="N805" s="1" t="s">
        <v>447</v>
      </c>
      <c r="O805" s="19">
        <v>744</v>
      </c>
      <c r="P805" s="1" t="s">
        <v>18</v>
      </c>
      <c r="Q805" s="19">
        <v>3</v>
      </c>
      <c r="R805" s="19">
        <v>2</v>
      </c>
      <c r="S805" s="19">
        <v>33</v>
      </c>
      <c r="T805" s="14">
        <v>242000</v>
      </c>
      <c r="U805" s="14">
        <v>329000</v>
      </c>
      <c r="V805" s="14">
        <v>125000</v>
      </c>
      <c r="W805" s="4">
        <f t="shared" si="36"/>
        <v>0.35950413223140498</v>
      </c>
      <c r="Z805" s="11">
        <f t="shared" si="37"/>
        <v>0.37993920972644379</v>
      </c>
      <c r="AA805" s="19">
        <f t="shared" si="38"/>
        <v>204000</v>
      </c>
    </row>
    <row r="806" spans="2:27" x14ac:dyDescent="0.45">
      <c r="B806" s="7">
        <v>184</v>
      </c>
      <c r="C806" s="1" t="s">
        <v>435</v>
      </c>
      <c r="D806" s="1" t="s">
        <v>436</v>
      </c>
      <c r="E806" s="1" t="s">
        <v>502</v>
      </c>
      <c r="F806" s="1" t="s">
        <v>487</v>
      </c>
      <c r="G806" s="19">
        <v>8</v>
      </c>
      <c r="H806" s="19">
        <v>23</v>
      </c>
      <c r="I806" s="19">
        <v>48</v>
      </c>
      <c r="J806" s="19">
        <v>55</v>
      </c>
      <c r="K806" s="2" t="s">
        <v>40</v>
      </c>
      <c r="L806" s="2" t="s">
        <v>433</v>
      </c>
      <c r="M806" s="19">
        <v>1984</v>
      </c>
      <c r="N806" s="1" t="s">
        <v>440</v>
      </c>
      <c r="O806" s="19">
        <v>416</v>
      </c>
      <c r="P806" s="1" t="s">
        <v>18</v>
      </c>
      <c r="Q806" s="19">
        <v>3</v>
      </c>
      <c r="R806" s="19">
        <v>1</v>
      </c>
      <c r="S806" s="19">
        <v>31</v>
      </c>
      <c r="T806" s="14">
        <v>275000</v>
      </c>
      <c r="U806" s="14">
        <v>330000</v>
      </c>
      <c r="V806" s="14">
        <v>87000</v>
      </c>
      <c r="W806" s="4">
        <f t="shared" si="36"/>
        <v>0.2</v>
      </c>
      <c r="Z806" s="11">
        <f t="shared" si="37"/>
        <v>0.26363636363636361</v>
      </c>
      <c r="AA806" s="19">
        <f t="shared" si="38"/>
        <v>243000</v>
      </c>
    </row>
    <row r="807" spans="2:27" x14ac:dyDescent="0.45">
      <c r="B807" s="7">
        <v>186</v>
      </c>
      <c r="C807" s="1" t="s">
        <v>435</v>
      </c>
      <c r="D807" s="1" t="s">
        <v>436</v>
      </c>
      <c r="E807" s="1" t="s">
        <v>496</v>
      </c>
      <c r="F807" s="1" t="s">
        <v>487</v>
      </c>
      <c r="G807" s="19">
        <v>10</v>
      </c>
      <c r="H807" s="19">
        <v>23</v>
      </c>
      <c r="I807" s="19">
        <v>48</v>
      </c>
      <c r="J807" s="19">
        <v>55</v>
      </c>
      <c r="K807" s="2" t="s">
        <v>39</v>
      </c>
      <c r="L807" s="2" t="s">
        <v>433</v>
      </c>
      <c r="M807" s="19">
        <v>1985</v>
      </c>
      <c r="N807" s="1" t="s">
        <v>447</v>
      </c>
      <c r="O807" s="19">
        <v>620</v>
      </c>
      <c r="P807" s="1" t="s">
        <v>5</v>
      </c>
      <c r="Q807" s="19">
        <v>3</v>
      </c>
      <c r="R807" s="19">
        <v>1</v>
      </c>
      <c r="S807" s="19">
        <v>25</v>
      </c>
      <c r="T807" s="14">
        <v>232500</v>
      </c>
      <c r="U807" s="14">
        <v>330000</v>
      </c>
      <c r="V807" s="14">
        <v>35000</v>
      </c>
      <c r="W807" s="4">
        <f t="shared" si="36"/>
        <v>0.41935483870967744</v>
      </c>
      <c r="Z807" s="11">
        <f t="shared" si="37"/>
        <v>0.10606060606060606</v>
      </c>
      <c r="AA807" s="19">
        <f t="shared" si="38"/>
        <v>295000</v>
      </c>
    </row>
    <row r="808" spans="2:27" x14ac:dyDescent="0.45">
      <c r="B808" s="7">
        <v>1412</v>
      </c>
      <c r="C808" s="1" t="s">
        <v>147</v>
      </c>
      <c r="D808" s="1" t="s">
        <v>929</v>
      </c>
      <c r="E808" s="1" t="s">
        <v>951</v>
      </c>
      <c r="F808" s="1" t="s">
        <v>950</v>
      </c>
      <c r="G808" s="19">
        <v>6</v>
      </c>
      <c r="H808" s="19">
        <v>18</v>
      </c>
      <c r="I808" s="19">
        <v>32</v>
      </c>
      <c r="J808" s="19">
        <v>35</v>
      </c>
      <c r="K808" s="2" t="s">
        <v>211</v>
      </c>
      <c r="L808" s="2" t="s">
        <v>439</v>
      </c>
      <c r="M808" s="19">
        <v>2010</v>
      </c>
      <c r="N808" s="1" t="s">
        <v>440</v>
      </c>
      <c r="O808" s="19">
        <v>496</v>
      </c>
      <c r="P808" s="1" t="s">
        <v>18</v>
      </c>
      <c r="Q808" s="19">
        <v>3</v>
      </c>
      <c r="R808" s="19">
        <v>2</v>
      </c>
      <c r="S808" s="19">
        <v>33</v>
      </c>
      <c r="T808" s="14">
        <v>260000</v>
      </c>
      <c r="U808" s="14">
        <v>330000</v>
      </c>
      <c r="V808" s="14">
        <v>129000</v>
      </c>
      <c r="W808" s="4">
        <f t="shared" si="36"/>
        <v>0.26923076923076922</v>
      </c>
      <c r="Z808" s="11">
        <f t="shared" si="37"/>
        <v>0.39090909090909093</v>
      </c>
      <c r="AA808" s="19">
        <f t="shared" si="38"/>
        <v>201000</v>
      </c>
    </row>
    <row r="809" spans="2:27" x14ac:dyDescent="0.45">
      <c r="B809" s="7">
        <v>154</v>
      </c>
      <c r="C809" s="1" t="s">
        <v>441</v>
      </c>
      <c r="D809" s="1" t="s">
        <v>436</v>
      </c>
      <c r="E809" s="1" t="s">
        <v>497</v>
      </c>
      <c r="F809" s="1" t="s">
        <v>498</v>
      </c>
      <c r="G809" s="19">
        <v>5</v>
      </c>
      <c r="H809" s="19">
        <v>20</v>
      </c>
      <c r="I809" s="19">
        <v>40</v>
      </c>
      <c r="J809" s="19">
        <v>50</v>
      </c>
      <c r="K809" s="2" t="s">
        <v>41</v>
      </c>
      <c r="L809" s="2" t="s">
        <v>433</v>
      </c>
      <c r="M809" s="19">
        <v>1983</v>
      </c>
      <c r="N809" s="1" t="s">
        <v>434</v>
      </c>
      <c r="O809" s="19">
        <v>1060</v>
      </c>
      <c r="P809" s="1" t="s">
        <v>5</v>
      </c>
      <c r="Q809" s="19">
        <v>2</v>
      </c>
      <c r="R809" s="19">
        <v>1</v>
      </c>
      <c r="S809" s="19">
        <v>23</v>
      </c>
      <c r="T809" s="14">
        <v>200000</v>
      </c>
      <c r="U809" s="14">
        <v>333000</v>
      </c>
      <c r="V809" s="14">
        <v>40000</v>
      </c>
      <c r="W809" s="4">
        <f t="shared" si="36"/>
        <v>0.66500000000000004</v>
      </c>
      <c r="Z809" s="11">
        <f t="shared" si="37"/>
        <v>0.12012012012012012</v>
      </c>
      <c r="AA809" s="19">
        <f t="shared" si="38"/>
        <v>293000</v>
      </c>
    </row>
    <row r="810" spans="2:27" x14ac:dyDescent="0.45">
      <c r="B810" s="7">
        <v>133</v>
      </c>
      <c r="C810" s="1" t="s">
        <v>444</v>
      </c>
      <c r="D810" s="1" t="s">
        <v>436</v>
      </c>
      <c r="E810" s="1" t="s">
        <v>491</v>
      </c>
      <c r="F810" s="1" t="s">
        <v>454</v>
      </c>
      <c r="G810" s="19">
        <v>4</v>
      </c>
      <c r="H810" s="19">
        <v>11</v>
      </c>
      <c r="I810" s="19">
        <v>34</v>
      </c>
      <c r="J810" s="19">
        <v>43</v>
      </c>
      <c r="K810" s="2" t="s">
        <v>492</v>
      </c>
      <c r="L810" s="2" t="s">
        <v>439</v>
      </c>
      <c r="M810" s="19">
        <v>2008</v>
      </c>
      <c r="N810" s="1" t="s">
        <v>447</v>
      </c>
      <c r="O810" s="19">
        <v>768</v>
      </c>
      <c r="P810" s="1" t="s">
        <v>18</v>
      </c>
      <c r="Q810" s="19">
        <v>3</v>
      </c>
      <c r="R810" s="19">
        <v>2</v>
      </c>
      <c r="S810" s="19">
        <v>24</v>
      </c>
      <c r="T810" s="14">
        <v>226000</v>
      </c>
      <c r="U810" s="14">
        <v>335000</v>
      </c>
      <c r="V810" s="14">
        <v>140000</v>
      </c>
      <c r="W810" s="4">
        <f t="shared" si="36"/>
        <v>0.48230088495575218</v>
      </c>
      <c r="Z810" s="11">
        <f t="shared" si="37"/>
        <v>0.41791044776119401</v>
      </c>
      <c r="AA810" s="19">
        <f t="shared" si="38"/>
        <v>195000</v>
      </c>
    </row>
    <row r="811" spans="2:27" x14ac:dyDescent="0.45">
      <c r="B811" s="7">
        <v>1421</v>
      </c>
      <c r="C811" s="1" t="s">
        <v>147</v>
      </c>
      <c r="D811" s="1" t="s">
        <v>929</v>
      </c>
      <c r="E811" s="1" t="s">
        <v>954</v>
      </c>
      <c r="F811" s="1" t="s">
        <v>953</v>
      </c>
      <c r="G811" s="19">
        <v>5</v>
      </c>
      <c r="H811" s="19">
        <v>20</v>
      </c>
      <c r="I811" s="19">
        <v>40</v>
      </c>
      <c r="J811" s="19">
        <v>42</v>
      </c>
      <c r="K811" s="2" t="s">
        <v>209</v>
      </c>
      <c r="L811" s="2" t="s">
        <v>453</v>
      </c>
      <c r="M811" s="19">
        <v>2021</v>
      </c>
      <c r="N811" s="1" t="s">
        <v>447</v>
      </c>
      <c r="O811" s="19">
        <v>758</v>
      </c>
      <c r="P811" s="1" t="s">
        <v>18</v>
      </c>
      <c r="Q811" s="19">
        <v>3</v>
      </c>
      <c r="R811" s="19">
        <v>2</v>
      </c>
      <c r="S811" s="19">
        <v>33</v>
      </c>
      <c r="T811" s="14">
        <v>287000</v>
      </c>
      <c r="U811" s="14">
        <v>340000</v>
      </c>
      <c r="V811" s="14">
        <v>139000</v>
      </c>
      <c r="W811" s="4">
        <f t="shared" si="36"/>
        <v>0.18466898954703834</v>
      </c>
      <c r="Z811" s="11">
        <f t="shared" si="37"/>
        <v>0.4088235294117647</v>
      </c>
      <c r="AA811" s="19">
        <f t="shared" si="38"/>
        <v>201000</v>
      </c>
    </row>
    <row r="812" spans="2:27" x14ac:dyDescent="0.45">
      <c r="B812" s="7">
        <v>1772</v>
      </c>
      <c r="C812" s="1" t="s">
        <v>308</v>
      </c>
      <c r="D812" s="1" t="s">
        <v>1032</v>
      </c>
      <c r="E812" s="1" t="s">
        <v>1048</v>
      </c>
      <c r="F812" s="1" t="s">
        <v>1049</v>
      </c>
      <c r="G812" s="19">
        <v>3</v>
      </c>
      <c r="H812" s="19">
        <v>12</v>
      </c>
      <c r="I812" s="19">
        <v>32</v>
      </c>
      <c r="J812" s="19">
        <v>40</v>
      </c>
      <c r="K812" s="2" t="s">
        <v>367</v>
      </c>
      <c r="L812" s="2" t="s">
        <v>439</v>
      </c>
      <c r="M812" s="19">
        <v>2008</v>
      </c>
      <c r="N812" s="1" t="s">
        <v>434</v>
      </c>
      <c r="O812" s="19">
        <v>5678</v>
      </c>
      <c r="P812" s="1" t="s">
        <v>18</v>
      </c>
      <c r="Q812" s="19">
        <v>3</v>
      </c>
      <c r="R812" s="19">
        <v>2</v>
      </c>
      <c r="S812" s="19">
        <v>33</v>
      </c>
      <c r="T812" s="14">
        <v>270000</v>
      </c>
      <c r="U812" s="14">
        <v>340000</v>
      </c>
      <c r="V812" s="14">
        <v>105000</v>
      </c>
      <c r="W812" s="4">
        <f t="shared" si="36"/>
        <v>0.25925925925925924</v>
      </c>
      <c r="Z812" s="11">
        <f t="shared" si="37"/>
        <v>0.30882352941176472</v>
      </c>
      <c r="AA812" s="19">
        <f t="shared" si="38"/>
        <v>235000</v>
      </c>
    </row>
    <row r="813" spans="2:27" x14ac:dyDescent="0.45">
      <c r="B813" s="7">
        <v>1774</v>
      </c>
      <c r="C813" s="1" t="s">
        <v>308</v>
      </c>
      <c r="D813" s="1" t="s">
        <v>1032</v>
      </c>
      <c r="E813" s="1" t="s">
        <v>1050</v>
      </c>
      <c r="F813" s="1" t="s">
        <v>1051</v>
      </c>
      <c r="G813" s="19">
        <v>3</v>
      </c>
      <c r="H813" s="19">
        <v>15</v>
      </c>
      <c r="I813" s="19">
        <v>32</v>
      </c>
      <c r="J813" s="19">
        <v>38</v>
      </c>
      <c r="K813" s="2" t="s">
        <v>366</v>
      </c>
      <c r="L813" s="2" t="s">
        <v>439</v>
      </c>
      <c r="M813" s="19">
        <v>2008</v>
      </c>
      <c r="N813" s="1" t="s">
        <v>434</v>
      </c>
      <c r="O813" s="19">
        <v>5563</v>
      </c>
      <c r="P813" s="1" t="s">
        <v>18</v>
      </c>
      <c r="Q813" s="19">
        <v>3</v>
      </c>
      <c r="R813" s="19">
        <v>2</v>
      </c>
      <c r="S813" s="19">
        <v>33</v>
      </c>
      <c r="T813" s="14">
        <v>265000</v>
      </c>
      <c r="U813" s="14">
        <v>343000</v>
      </c>
      <c r="V813" s="14">
        <v>125000</v>
      </c>
      <c r="W813" s="4">
        <f t="shared" si="36"/>
        <v>0.29433962264150942</v>
      </c>
      <c r="Z813" s="11">
        <f t="shared" si="37"/>
        <v>0.36443148688046645</v>
      </c>
      <c r="AA813" s="19">
        <f t="shared" si="38"/>
        <v>218000</v>
      </c>
    </row>
    <row r="814" spans="2:27" x14ac:dyDescent="0.45">
      <c r="B814" s="7">
        <v>117</v>
      </c>
      <c r="C814" s="1" t="s">
        <v>444</v>
      </c>
      <c r="D814" s="1" t="s">
        <v>436</v>
      </c>
      <c r="E814" s="1" t="s">
        <v>485</v>
      </c>
      <c r="F814" s="1" t="s">
        <v>484</v>
      </c>
      <c r="G814" s="19">
        <v>5</v>
      </c>
      <c r="H814" s="19">
        <v>12</v>
      </c>
      <c r="I814" s="19">
        <v>35</v>
      </c>
      <c r="J814" s="19">
        <v>45</v>
      </c>
      <c r="K814" s="2" t="s">
        <v>113</v>
      </c>
      <c r="L814" s="2" t="s">
        <v>439</v>
      </c>
      <c r="M814" s="19">
        <v>2006</v>
      </c>
      <c r="N814" s="1" t="s">
        <v>434</v>
      </c>
      <c r="O814" s="19">
        <v>3002</v>
      </c>
      <c r="P814" s="1" t="s">
        <v>18</v>
      </c>
      <c r="Q814" s="19">
        <v>3</v>
      </c>
      <c r="R814" s="19">
        <v>1</v>
      </c>
      <c r="S814" s="19">
        <v>25</v>
      </c>
      <c r="T814" s="14">
        <v>0</v>
      </c>
      <c r="U814" s="14">
        <v>345000</v>
      </c>
      <c r="V814" s="14">
        <v>130000</v>
      </c>
      <c r="W814" s="4" t="e">
        <f t="shared" si="36"/>
        <v>#DIV/0!</v>
      </c>
      <c r="Z814" s="11">
        <f t="shared" si="37"/>
        <v>0.37681159420289856</v>
      </c>
      <c r="AA814" s="19">
        <f t="shared" si="38"/>
        <v>215000</v>
      </c>
    </row>
    <row r="815" spans="2:27" x14ac:dyDescent="0.45">
      <c r="B815" s="7">
        <v>1443</v>
      </c>
      <c r="C815" s="1" t="s">
        <v>133</v>
      </c>
      <c r="D815" s="1" t="s">
        <v>929</v>
      </c>
      <c r="E815" s="1" t="s">
        <v>959</v>
      </c>
      <c r="F815" s="1" t="s">
        <v>957</v>
      </c>
      <c r="G815" s="19">
        <v>4</v>
      </c>
      <c r="H815" s="19">
        <v>12</v>
      </c>
      <c r="I815" s="19">
        <v>25</v>
      </c>
      <c r="J815" s="19">
        <v>28</v>
      </c>
      <c r="K815" s="2" t="s">
        <v>206</v>
      </c>
      <c r="L815" s="2" t="s">
        <v>439</v>
      </c>
      <c r="M815" s="19">
        <v>2011</v>
      </c>
      <c r="N815" s="1" t="s">
        <v>434</v>
      </c>
      <c r="O815" s="19">
        <v>1119</v>
      </c>
      <c r="P815" s="1" t="s">
        <v>18</v>
      </c>
      <c r="Q815" s="19">
        <v>3</v>
      </c>
      <c r="R815" s="19">
        <v>2</v>
      </c>
      <c r="S815" s="19">
        <v>25</v>
      </c>
      <c r="T815" s="14">
        <v>258000</v>
      </c>
      <c r="U815" s="14">
        <v>347000</v>
      </c>
      <c r="V815" s="14">
        <v>114000</v>
      </c>
      <c r="W815" s="4">
        <f t="shared" si="36"/>
        <v>0.34496124031007752</v>
      </c>
      <c r="Z815" s="11">
        <f t="shared" si="37"/>
        <v>0.32853025936599423</v>
      </c>
      <c r="AA815" s="19">
        <f t="shared" si="38"/>
        <v>233000</v>
      </c>
    </row>
    <row r="816" spans="2:27" x14ac:dyDescent="0.45">
      <c r="B816" s="7">
        <v>60</v>
      </c>
      <c r="C816" s="1" t="s">
        <v>466</v>
      </c>
      <c r="D816" s="1" t="s">
        <v>458</v>
      </c>
      <c r="E816" s="1" t="s">
        <v>467</v>
      </c>
      <c r="F816" s="1" t="s">
        <v>457</v>
      </c>
      <c r="G816" s="19">
        <v>6</v>
      </c>
      <c r="H816" s="19">
        <v>18</v>
      </c>
      <c r="I816" s="19">
        <v>30</v>
      </c>
      <c r="J816" s="19">
        <v>35</v>
      </c>
      <c r="K816" s="2" t="s">
        <v>468</v>
      </c>
      <c r="L816" s="2" t="s">
        <v>439</v>
      </c>
      <c r="M816" s="19">
        <v>2008</v>
      </c>
      <c r="N816" s="1" t="s">
        <v>469</v>
      </c>
      <c r="O816" s="19">
        <v>1144</v>
      </c>
      <c r="P816" s="1" t="s">
        <v>460</v>
      </c>
      <c r="Q816" s="19">
        <v>3</v>
      </c>
      <c r="R816" s="19">
        <v>2</v>
      </c>
      <c r="S816" s="19">
        <v>33</v>
      </c>
      <c r="T816" s="14">
        <v>259000</v>
      </c>
      <c r="U816" s="14">
        <v>349000</v>
      </c>
      <c r="V816" s="14">
        <v>119500</v>
      </c>
      <c r="W816" s="4">
        <f t="shared" si="36"/>
        <v>0.34749034749034752</v>
      </c>
      <c r="Z816" s="11">
        <f t="shared" si="37"/>
        <v>0.34240687679083093</v>
      </c>
      <c r="AA816" s="19">
        <f t="shared" si="38"/>
        <v>229500</v>
      </c>
    </row>
    <row r="817" spans="2:27" x14ac:dyDescent="0.45">
      <c r="B817" s="7">
        <v>1400</v>
      </c>
      <c r="C817" s="1" t="s">
        <v>133</v>
      </c>
      <c r="D817" s="1" t="s">
        <v>929</v>
      </c>
      <c r="E817" s="1" t="s">
        <v>945</v>
      </c>
      <c r="F817" s="1" t="s">
        <v>939</v>
      </c>
      <c r="G817" s="19">
        <v>6</v>
      </c>
      <c r="H817" s="19">
        <v>12</v>
      </c>
      <c r="I817" s="19">
        <v>35</v>
      </c>
      <c r="J817" s="19">
        <v>32</v>
      </c>
      <c r="K817" s="2" t="s">
        <v>262</v>
      </c>
      <c r="L817" s="2" t="s">
        <v>453</v>
      </c>
      <c r="M817" s="19">
        <v>2021</v>
      </c>
      <c r="N817" s="1" t="s">
        <v>434</v>
      </c>
      <c r="O817" s="19">
        <v>1446</v>
      </c>
      <c r="P817" s="1" t="s">
        <v>18</v>
      </c>
      <c r="Q817" s="19">
        <v>3</v>
      </c>
      <c r="R817" s="19">
        <v>2</v>
      </c>
      <c r="S817" s="19">
        <v>25</v>
      </c>
      <c r="T817" s="14">
        <v>0</v>
      </c>
      <c r="U817" s="14">
        <v>349000</v>
      </c>
      <c r="V817" s="14">
        <v>124000</v>
      </c>
      <c r="W817" s="4" t="e">
        <f t="shared" si="36"/>
        <v>#DIV/0!</v>
      </c>
      <c r="Z817" s="11">
        <f t="shared" si="37"/>
        <v>0.35530085959885388</v>
      </c>
      <c r="AA817" s="19">
        <f t="shared" si="38"/>
        <v>225000</v>
      </c>
    </row>
    <row r="818" spans="2:27" x14ac:dyDescent="0.45">
      <c r="B818" s="7">
        <v>100</v>
      </c>
      <c r="C818" s="1" t="s">
        <v>441</v>
      </c>
      <c r="D818" s="1" t="s">
        <v>436</v>
      </c>
      <c r="E818" s="1" t="s">
        <v>481</v>
      </c>
      <c r="F818" s="1" t="s">
        <v>449</v>
      </c>
      <c r="G818" s="19">
        <v>6</v>
      </c>
      <c r="H818" s="19">
        <v>24</v>
      </c>
      <c r="I818" s="19">
        <v>44</v>
      </c>
      <c r="J818" s="19">
        <v>51</v>
      </c>
      <c r="K818" s="2" t="s">
        <v>134</v>
      </c>
      <c r="L818" s="2" t="s">
        <v>453</v>
      </c>
      <c r="M818" s="19">
        <v>2021</v>
      </c>
      <c r="N818" s="1" t="s">
        <v>434</v>
      </c>
      <c r="O818" s="19">
        <v>1996</v>
      </c>
      <c r="P818" s="1" t="s">
        <v>18</v>
      </c>
      <c r="Q818" s="19">
        <v>3</v>
      </c>
      <c r="R818" s="19">
        <v>2</v>
      </c>
      <c r="S818" s="19">
        <v>30</v>
      </c>
      <c r="T818" s="14">
        <v>298000</v>
      </c>
      <c r="U818" s="14">
        <v>350000</v>
      </c>
      <c r="V818" s="14">
        <v>150000</v>
      </c>
      <c r="W818" s="4">
        <f t="shared" si="36"/>
        <v>0.17449664429530201</v>
      </c>
      <c r="Z818" s="11">
        <f t="shared" si="37"/>
        <v>0.42857142857142855</v>
      </c>
      <c r="AA818" s="19">
        <f t="shared" si="38"/>
        <v>200000</v>
      </c>
    </row>
    <row r="819" spans="2:27" x14ac:dyDescent="0.45">
      <c r="B819" s="7">
        <v>1351</v>
      </c>
      <c r="C819" s="1" t="s">
        <v>147</v>
      </c>
      <c r="D819" s="1" t="s">
        <v>929</v>
      </c>
      <c r="E819" s="1" t="s">
        <v>931</v>
      </c>
      <c r="F819" s="1" t="s">
        <v>932</v>
      </c>
      <c r="G819" s="19">
        <v>5</v>
      </c>
      <c r="H819" s="19">
        <v>18</v>
      </c>
      <c r="I819" s="19">
        <v>22</v>
      </c>
      <c r="J819" s="19">
        <v>28</v>
      </c>
      <c r="K819" s="2" t="s">
        <v>371</v>
      </c>
      <c r="L819" s="2" t="s">
        <v>433</v>
      </c>
      <c r="M819" s="19">
        <v>1989</v>
      </c>
      <c r="N819" s="1" t="s">
        <v>440</v>
      </c>
      <c r="O819" s="19">
        <v>450</v>
      </c>
      <c r="P819" s="1" t="s">
        <v>18</v>
      </c>
      <c r="Q819" s="19">
        <v>3</v>
      </c>
      <c r="R819" s="19">
        <v>2</v>
      </c>
      <c r="S819" s="19">
        <v>33</v>
      </c>
      <c r="T819" s="14">
        <v>268000</v>
      </c>
      <c r="U819" s="14">
        <v>350000</v>
      </c>
      <c r="V819" s="14">
        <v>75000</v>
      </c>
      <c r="W819" s="4">
        <f t="shared" si="36"/>
        <v>0.30597014925373134</v>
      </c>
      <c r="Z819" s="11">
        <f t="shared" si="37"/>
        <v>0.21428571428571427</v>
      </c>
      <c r="AA819" s="19">
        <f t="shared" si="38"/>
        <v>275000</v>
      </c>
    </row>
    <row r="820" spans="2:27" x14ac:dyDescent="0.45">
      <c r="B820" s="7">
        <v>1404</v>
      </c>
      <c r="C820" s="1" t="s">
        <v>147</v>
      </c>
      <c r="D820" s="1" t="s">
        <v>929</v>
      </c>
      <c r="E820" s="1" t="s">
        <v>946</v>
      </c>
      <c r="F820" s="1" t="s">
        <v>933</v>
      </c>
      <c r="G820" s="19">
        <v>8</v>
      </c>
      <c r="H820" s="19">
        <v>15</v>
      </c>
      <c r="I820" s="19">
        <v>32</v>
      </c>
      <c r="J820" s="19">
        <v>25</v>
      </c>
      <c r="K820" s="2" t="s">
        <v>261</v>
      </c>
      <c r="L820" s="2" t="s">
        <v>439</v>
      </c>
      <c r="M820" s="19">
        <v>2010</v>
      </c>
      <c r="N820" s="1" t="s">
        <v>440</v>
      </c>
      <c r="O820" s="19">
        <v>435</v>
      </c>
      <c r="P820" s="1" t="s">
        <v>18</v>
      </c>
      <c r="Q820" s="19">
        <v>3</v>
      </c>
      <c r="R820" s="19">
        <v>2</v>
      </c>
      <c r="S820" s="19">
        <v>33</v>
      </c>
      <c r="T820" s="14">
        <v>248000</v>
      </c>
      <c r="U820" s="14">
        <v>350000</v>
      </c>
      <c r="V820" s="14">
        <v>129000</v>
      </c>
      <c r="W820" s="4">
        <f t="shared" si="36"/>
        <v>0.41129032258064518</v>
      </c>
      <c r="Z820" s="11">
        <f t="shared" si="37"/>
        <v>0.36857142857142855</v>
      </c>
      <c r="AA820" s="19">
        <f t="shared" si="38"/>
        <v>221000</v>
      </c>
    </row>
    <row r="821" spans="2:27" x14ac:dyDescent="0.45">
      <c r="B821" s="7">
        <v>58</v>
      </c>
      <c r="C821" s="1" t="s">
        <v>444</v>
      </c>
      <c r="D821" s="1" t="s">
        <v>458</v>
      </c>
      <c r="E821" s="1" t="s">
        <v>462</v>
      </c>
      <c r="F821" s="1" t="s">
        <v>443</v>
      </c>
      <c r="G821" s="19">
        <v>8</v>
      </c>
      <c r="H821" s="19">
        <v>15</v>
      </c>
      <c r="I821" s="19">
        <v>32</v>
      </c>
      <c r="J821" s="19">
        <v>38</v>
      </c>
      <c r="K821" s="2" t="s">
        <v>463</v>
      </c>
      <c r="L821" s="2" t="s">
        <v>464</v>
      </c>
      <c r="M821" s="19">
        <v>2008</v>
      </c>
      <c r="N821" s="1" t="s">
        <v>461</v>
      </c>
      <c r="O821" s="19">
        <v>926</v>
      </c>
      <c r="P821" s="1" t="s">
        <v>18</v>
      </c>
      <c r="Q821" s="19">
        <v>3</v>
      </c>
      <c r="R821" s="19">
        <v>2</v>
      </c>
      <c r="S821" s="19">
        <v>33</v>
      </c>
      <c r="T821" s="14">
        <v>299000</v>
      </c>
      <c r="U821" s="14">
        <v>354000</v>
      </c>
      <c r="V821" s="14">
        <v>115000</v>
      </c>
      <c r="W821" s="4">
        <f t="shared" si="36"/>
        <v>0.18394648829431437</v>
      </c>
      <c r="Z821" s="11">
        <f t="shared" si="37"/>
        <v>0.3248587570621469</v>
      </c>
      <c r="AA821" s="19">
        <f t="shared" si="38"/>
        <v>239000</v>
      </c>
    </row>
    <row r="822" spans="2:27" x14ac:dyDescent="0.45">
      <c r="B822" s="7">
        <v>1347</v>
      </c>
      <c r="C822" s="1" t="s">
        <v>133</v>
      </c>
      <c r="D822" s="1" t="s">
        <v>929</v>
      </c>
      <c r="E822" s="1" t="s">
        <v>931</v>
      </c>
      <c r="F822" s="1" t="s">
        <v>932</v>
      </c>
      <c r="G822" s="19">
        <v>3</v>
      </c>
      <c r="H822" s="19">
        <v>15</v>
      </c>
      <c r="I822" s="19">
        <v>22</v>
      </c>
      <c r="J822" s="19">
        <v>28</v>
      </c>
      <c r="K822" s="2" t="s">
        <v>372</v>
      </c>
      <c r="L822" s="2" t="s">
        <v>439</v>
      </c>
      <c r="M822" s="19">
        <v>2002</v>
      </c>
      <c r="N822" s="1" t="s">
        <v>447</v>
      </c>
      <c r="O822" s="19">
        <v>991</v>
      </c>
      <c r="P822" s="1" t="s">
        <v>18</v>
      </c>
      <c r="Q822" s="19">
        <v>3</v>
      </c>
      <c r="R822" s="19">
        <v>2</v>
      </c>
      <c r="S822" s="19">
        <v>33</v>
      </c>
      <c r="T822" s="14">
        <v>281000</v>
      </c>
      <c r="U822" s="14">
        <v>355000</v>
      </c>
      <c r="V822" s="14">
        <v>102000</v>
      </c>
      <c r="W822" s="4">
        <f t="shared" si="36"/>
        <v>0.26334519572953735</v>
      </c>
      <c r="Z822" s="11">
        <f t="shared" si="37"/>
        <v>0.28732394366197184</v>
      </c>
      <c r="AA822" s="19">
        <f t="shared" si="38"/>
        <v>253000</v>
      </c>
    </row>
    <row r="823" spans="2:27" x14ac:dyDescent="0.45">
      <c r="B823" s="7">
        <v>37</v>
      </c>
      <c r="C823" s="1" t="s">
        <v>441</v>
      </c>
      <c r="D823" s="1" t="s">
        <v>436</v>
      </c>
      <c r="E823" s="1" t="s">
        <v>437</v>
      </c>
      <c r="F823" s="1" t="s">
        <v>438</v>
      </c>
      <c r="G823" s="19">
        <v>4</v>
      </c>
      <c r="H823" s="19">
        <v>10</v>
      </c>
      <c r="I823" s="19">
        <v>36</v>
      </c>
      <c r="J823" s="19">
        <v>36</v>
      </c>
      <c r="K823" s="2" t="s">
        <v>318</v>
      </c>
      <c r="L823" s="2" t="s">
        <v>439</v>
      </c>
      <c r="M823" s="19">
        <v>2005</v>
      </c>
      <c r="N823" s="1" t="s">
        <v>447</v>
      </c>
      <c r="O823" s="19">
        <v>840</v>
      </c>
      <c r="P823" s="1" t="s">
        <v>18</v>
      </c>
      <c r="Q823" s="19">
        <v>3</v>
      </c>
      <c r="R823" s="19">
        <v>2</v>
      </c>
      <c r="S823" s="19">
        <v>33</v>
      </c>
      <c r="T823" s="14">
        <v>264900</v>
      </c>
      <c r="U823" s="14">
        <v>358000</v>
      </c>
      <c r="V823" s="14">
        <v>150000</v>
      </c>
      <c r="W823" s="4">
        <f t="shared" si="36"/>
        <v>0.35145337863344656</v>
      </c>
      <c r="Z823" s="11">
        <f t="shared" si="37"/>
        <v>0.41899441340782123</v>
      </c>
      <c r="AA823" s="19">
        <f t="shared" si="38"/>
        <v>208000</v>
      </c>
    </row>
    <row r="824" spans="2:27" x14ac:dyDescent="0.45">
      <c r="B824" s="7">
        <v>137</v>
      </c>
      <c r="C824" s="1" t="s">
        <v>441</v>
      </c>
      <c r="D824" s="1" t="s">
        <v>436</v>
      </c>
      <c r="E824" s="1" t="s">
        <v>493</v>
      </c>
      <c r="F824" s="1" t="s">
        <v>490</v>
      </c>
      <c r="G824" s="19">
        <v>8</v>
      </c>
      <c r="H824" s="19">
        <v>17</v>
      </c>
      <c r="I824" s="19">
        <v>37</v>
      </c>
      <c r="J824" s="19">
        <v>47</v>
      </c>
      <c r="K824" s="2" t="s">
        <v>109</v>
      </c>
      <c r="L824" s="2" t="s">
        <v>439</v>
      </c>
      <c r="M824" s="19">
        <v>2000</v>
      </c>
      <c r="N824" s="1" t="s">
        <v>447</v>
      </c>
      <c r="O824" s="19">
        <v>960</v>
      </c>
      <c r="P824" s="1" t="s">
        <v>18</v>
      </c>
      <c r="Q824" s="19">
        <v>3</v>
      </c>
      <c r="R824" s="19">
        <v>2</v>
      </c>
      <c r="S824" s="19">
        <v>33</v>
      </c>
      <c r="T824" s="14">
        <v>254000</v>
      </c>
      <c r="U824" s="14">
        <v>360000</v>
      </c>
      <c r="V824" s="14">
        <v>144500</v>
      </c>
      <c r="W824" s="4">
        <f t="shared" si="36"/>
        <v>0.41732283464566927</v>
      </c>
      <c r="Z824" s="11">
        <f t="shared" si="37"/>
        <v>0.40138888888888891</v>
      </c>
      <c r="AA824" s="19">
        <f t="shared" si="38"/>
        <v>215500</v>
      </c>
    </row>
    <row r="825" spans="2:27" x14ac:dyDescent="0.45">
      <c r="B825" s="7">
        <v>153</v>
      </c>
      <c r="C825" s="1" t="s">
        <v>441</v>
      </c>
      <c r="D825" s="1" t="s">
        <v>436</v>
      </c>
      <c r="E825" s="1" t="s">
        <v>497</v>
      </c>
      <c r="F825" s="1" t="s">
        <v>498</v>
      </c>
      <c r="G825" s="19">
        <v>5</v>
      </c>
      <c r="H825" s="19">
        <v>20</v>
      </c>
      <c r="I825" s="19">
        <v>40</v>
      </c>
      <c r="J825" s="19">
        <v>50</v>
      </c>
      <c r="K825" s="2" t="s">
        <v>41</v>
      </c>
      <c r="L825" s="2" t="s">
        <v>433</v>
      </c>
      <c r="M825" s="19">
        <v>1983</v>
      </c>
      <c r="N825" s="1" t="s">
        <v>434</v>
      </c>
      <c r="O825" s="19">
        <v>1060</v>
      </c>
      <c r="P825" s="1" t="s">
        <v>5</v>
      </c>
      <c r="Q825" s="19">
        <v>3</v>
      </c>
      <c r="R825" s="19">
        <v>1</v>
      </c>
      <c r="S825" s="19">
        <v>28</v>
      </c>
      <c r="T825" s="14">
        <v>270000</v>
      </c>
      <c r="U825" s="14">
        <v>360000</v>
      </c>
      <c r="V825" s="14">
        <v>50000</v>
      </c>
      <c r="W825" s="4">
        <f t="shared" si="36"/>
        <v>0.33333333333333331</v>
      </c>
      <c r="Z825" s="11">
        <f t="shared" si="37"/>
        <v>0.1388888888888889</v>
      </c>
      <c r="AA825" s="19">
        <f t="shared" si="38"/>
        <v>310000</v>
      </c>
    </row>
    <row r="826" spans="2:27" x14ac:dyDescent="0.45">
      <c r="B826" s="7">
        <v>113</v>
      </c>
      <c r="C826" s="1" t="s">
        <v>441</v>
      </c>
      <c r="D826" s="1" t="s">
        <v>436</v>
      </c>
      <c r="E826" s="1" t="s">
        <v>482</v>
      </c>
      <c r="F826" s="1" t="s">
        <v>454</v>
      </c>
      <c r="G826" s="19">
        <v>5</v>
      </c>
      <c r="H826" s="19">
        <v>11</v>
      </c>
      <c r="I826" s="19">
        <v>33</v>
      </c>
      <c r="J826" s="19">
        <v>42</v>
      </c>
      <c r="K826" s="2" t="s">
        <v>483</v>
      </c>
      <c r="L826" s="2" t="s">
        <v>439</v>
      </c>
      <c r="M826" s="19">
        <v>2001</v>
      </c>
      <c r="N826" s="1" t="s">
        <v>447</v>
      </c>
      <c r="O826" s="19">
        <v>732</v>
      </c>
      <c r="P826" s="1" t="s">
        <v>18</v>
      </c>
      <c r="Q826" s="19">
        <v>3</v>
      </c>
      <c r="R826" s="19">
        <v>2</v>
      </c>
      <c r="S826" s="19">
        <v>33</v>
      </c>
      <c r="T826" s="14">
        <v>265000</v>
      </c>
      <c r="U826" s="14">
        <v>365000</v>
      </c>
      <c r="V826" s="14">
        <v>135000</v>
      </c>
      <c r="W826" s="4">
        <f t="shared" si="36"/>
        <v>0.37735849056603776</v>
      </c>
      <c r="Z826" s="11">
        <f t="shared" si="37"/>
        <v>0.36986301369863012</v>
      </c>
      <c r="AA826" s="19">
        <f t="shared" si="38"/>
        <v>230000</v>
      </c>
    </row>
    <row r="827" spans="2:27" x14ac:dyDescent="0.45">
      <c r="B827" s="7">
        <v>185</v>
      </c>
      <c r="C827" s="1" t="s">
        <v>435</v>
      </c>
      <c r="D827" s="1" t="s">
        <v>436</v>
      </c>
      <c r="E827" s="1" t="s">
        <v>496</v>
      </c>
      <c r="F827" s="1" t="s">
        <v>487</v>
      </c>
      <c r="G827" s="19">
        <v>10</v>
      </c>
      <c r="H827" s="19">
        <v>23</v>
      </c>
      <c r="I827" s="19">
        <v>48</v>
      </c>
      <c r="J827" s="19">
        <v>55</v>
      </c>
      <c r="K827" s="2" t="s">
        <v>39</v>
      </c>
      <c r="L827" s="2" t="s">
        <v>433</v>
      </c>
      <c r="M827" s="19">
        <v>1985</v>
      </c>
      <c r="N827" s="1" t="s">
        <v>447</v>
      </c>
      <c r="O827" s="19">
        <v>620</v>
      </c>
      <c r="P827" s="1" t="s">
        <v>18</v>
      </c>
      <c r="Q827" s="19">
        <v>3</v>
      </c>
      <c r="R827" s="19">
        <v>1</v>
      </c>
      <c r="S827" s="19">
        <v>31</v>
      </c>
      <c r="T827" s="14">
        <v>281000</v>
      </c>
      <c r="U827" s="14">
        <v>370000</v>
      </c>
      <c r="V827" s="14">
        <v>55000</v>
      </c>
      <c r="W827" s="4">
        <f t="shared" si="36"/>
        <v>0.31672597864768681</v>
      </c>
      <c r="Z827" s="11">
        <f t="shared" si="37"/>
        <v>0.14864864864864866</v>
      </c>
      <c r="AA827" s="19">
        <f t="shared" si="38"/>
        <v>315000</v>
      </c>
    </row>
    <row r="828" spans="2:27" x14ac:dyDescent="0.45">
      <c r="B828" s="7">
        <v>102</v>
      </c>
      <c r="C828" s="1" t="s">
        <v>441</v>
      </c>
      <c r="D828" s="1" t="s">
        <v>436</v>
      </c>
      <c r="E828" s="1" t="s">
        <v>481</v>
      </c>
      <c r="F828" s="1" t="s">
        <v>449</v>
      </c>
      <c r="G828" s="19">
        <v>6</v>
      </c>
      <c r="H828" s="19">
        <v>24</v>
      </c>
      <c r="I828" s="19">
        <v>44</v>
      </c>
      <c r="J828" s="19">
        <v>51</v>
      </c>
      <c r="K828" s="2" t="s">
        <v>134</v>
      </c>
      <c r="L828" s="2" t="s">
        <v>453</v>
      </c>
      <c r="M828" s="19">
        <v>2021</v>
      </c>
      <c r="N828" s="1" t="s">
        <v>434</v>
      </c>
      <c r="O828" s="19">
        <v>1996</v>
      </c>
      <c r="P828" s="1" t="s">
        <v>18</v>
      </c>
      <c r="Q828" s="19">
        <v>3</v>
      </c>
      <c r="R828" s="19">
        <v>2</v>
      </c>
      <c r="S828" s="19">
        <v>33</v>
      </c>
      <c r="T828" s="14">
        <v>326000</v>
      </c>
      <c r="U828" s="14">
        <v>375000</v>
      </c>
      <c r="V828" s="14">
        <v>155000</v>
      </c>
      <c r="W828" s="4">
        <f t="shared" si="36"/>
        <v>0.15030674846625766</v>
      </c>
      <c r="Z828" s="11">
        <f t="shared" si="37"/>
        <v>0.41333333333333333</v>
      </c>
      <c r="AA828" s="19">
        <f t="shared" si="38"/>
        <v>220000</v>
      </c>
    </row>
    <row r="829" spans="2:27" x14ac:dyDescent="0.45">
      <c r="B829" s="7">
        <v>1434</v>
      </c>
      <c r="C829" s="1" t="s">
        <v>157</v>
      </c>
      <c r="D829" s="1" t="s">
        <v>929</v>
      </c>
      <c r="E829" s="1" t="s">
        <v>956</v>
      </c>
      <c r="F829" s="1" t="s">
        <v>955</v>
      </c>
      <c r="G829" s="19">
        <v>4</v>
      </c>
      <c r="H829" s="19">
        <v>10</v>
      </c>
      <c r="I829" s="19">
        <v>25</v>
      </c>
      <c r="J829" s="19">
        <v>28</v>
      </c>
      <c r="K829" s="2" t="s">
        <v>208</v>
      </c>
      <c r="L829" s="2" t="s">
        <v>439</v>
      </c>
      <c r="M829" s="19">
        <v>2009</v>
      </c>
      <c r="N829" s="1" t="s">
        <v>434</v>
      </c>
      <c r="O829" s="19">
        <v>3410</v>
      </c>
      <c r="P829" s="1" t="s">
        <v>18</v>
      </c>
      <c r="Q829" s="19">
        <v>3</v>
      </c>
      <c r="R829" s="19">
        <v>2</v>
      </c>
      <c r="S829" s="19">
        <v>25</v>
      </c>
      <c r="T829" s="14">
        <v>282000</v>
      </c>
      <c r="U829" s="14">
        <v>379000</v>
      </c>
      <c r="V829" s="14">
        <v>125000</v>
      </c>
      <c r="W829" s="4">
        <f t="shared" si="36"/>
        <v>0.34397163120567376</v>
      </c>
      <c r="Z829" s="11">
        <f t="shared" si="37"/>
        <v>0.32981530343007914</v>
      </c>
      <c r="AA829" s="19">
        <f t="shared" si="38"/>
        <v>254000</v>
      </c>
    </row>
    <row r="830" spans="2:27" x14ac:dyDescent="0.45">
      <c r="B830" s="7">
        <v>31</v>
      </c>
      <c r="C830" s="1" t="s">
        <v>435</v>
      </c>
      <c r="D830" s="1" t="s">
        <v>436</v>
      </c>
      <c r="E830" s="1" t="s">
        <v>452</v>
      </c>
      <c r="F830" s="1" t="s">
        <v>438</v>
      </c>
      <c r="G830" s="19">
        <v>8</v>
      </c>
      <c r="H830" s="19">
        <v>15</v>
      </c>
      <c r="I830" s="19">
        <v>40</v>
      </c>
      <c r="J830" s="19">
        <v>40</v>
      </c>
      <c r="K830" s="2" t="s">
        <v>319</v>
      </c>
      <c r="L830" s="2" t="s">
        <v>453</v>
      </c>
      <c r="M830" s="19">
        <v>2016</v>
      </c>
      <c r="N830" s="1" t="s">
        <v>440</v>
      </c>
      <c r="O830" s="19">
        <v>408</v>
      </c>
      <c r="P830" s="1" t="s">
        <v>18</v>
      </c>
      <c r="Q830" s="19">
        <v>3</v>
      </c>
      <c r="R830" s="19">
        <v>2</v>
      </c>
      <c r="S830" s="19">
        <v>33</v>
      </c>
      <c r="T830" s="14">
        <v>280000</v>
      </c>
      <c r="U830" s="14">
        <v>380000</v>
      </c>
      <c r="V830" s="14">
        <v>175000</v>
      </c>
      <c r="W830" s="4">
        <f t="shared" si="36"/>
        <v>0.35714285714285715</v>
      </c>
      <c r="Z830" s="11">
        <f t="shared" si="37"/>
        <v>0.46052631578947367</v>
      </c>
      <c r="AA830" s="19">
        <f t="shared" si="38"/>
        <v>205000</v>
      </c>
    </row>
    <row r="831" spans="2:27" x14ac:dyDescent="0.45">
      <c r="B831" s="7">
        <v>95</v>
      </c>
      <c r="C831" s="1" t="s">
        <v>441</v>
      </c>
      <c r="D831" s="1" t="s">
        <v>436</v>
      </c>
      <c r="E831" s="1" t="s">
        <v>479</v>
      </c>
      <c r="F831" s="1" t="s">
        <v>477</v>
      </c>
      <c r="G831" s="19">
        <v>5</v>
      </c>
      <c r="H831" s="19">
        <v>22</v>
      </c>
      <c r="I831" s="19">
        <v>45</v>
      </c>
      <c r="J831" s="19">
        <v>50</v>
      </c>
      <c r="K831" s="2" t="s">
        <v>480</v>
      </c>
      <c r="L831" s="2" t="s">
        <v>453</v>
      </c>
      <c r="M831" s="19">
        <v>2023</v>
      </c>
      <c r="N831" s="1" t="s">
        <v>434</v>
      </c>
      <c r="O831" s="19">
        <v>6702</v>
      </c>
      <c r="P831" s="1" t="s">
        <v>18</v>
      </c>
      <c r="Q831" s="19">
        <v>3</v>
      </c>
      <c r="R831" s="19">
        <v>2</v>
      </c>
      <c r="S831" s="19">
        <v>33</v>
      </c>
      <c r="T831" s="14">
        <v>0</v>
      </c>
      <c r="U831" s="14">
        <v>380000</v>
      </c>
      <c r="V831" s="14">
        <v>138000</v>
      </c>
      <c r="W831" s="4" t="e">
        <f t="shared" si="36"/>
        <v>#DIV/0!</v>
      </c>
      <c r="Z831" s="11">
        <f t="shared" si="37"/>
        <v>0.36315789473684212</v>
      </c>
      <c r="AA831" s="19">
        <f t="shared" si="38"/>
        <v>242000</v>
      </c>
    </row>
    <row r="832" spans="2:27" x14ac:dyDescent="0.45">
      <c r="B832" s="7">
        <v>1380</v>
      </c>
      <c r="C832" s="1" t="s">
        <v>147</v>
      </c>
      <c r="D832" s="1" t="s">
        <v>929</v>
      </c>
      <c r="E832" s="1" t="s">
        <v>940</v>
      </c>
      <c r="F832" s="1" t="s">
        <v>933</v>
      </c>
      <c r="G832" s="19">
        <v>5</v>
      </c>
      <c r="H832" s="19">
        <v>10</v>
      </c>
      <c r="I832" s="19">
        <v>32</v>
      </c>
      <c r="J832" s="19">
        <v>25</v>
      </c>
      <c r="K832" s="2" t="s">
        <v>266</v>
      </c>
      <c r="L832" s="2" t="s">
        <v>453</v>
      </c>
      <c r="M832" s="19">
        <v>2017</v>
      </c>
      <c r="N832" s="1" t="s">
        <v>447</v>
      </c>
      <c r="O832" s="19">
        <v>907</v>
      </c>
      <c r="P832" s="1" t="s">
        <v>18</v>
      </c>
      <c r="Q832" s="19">
        <v>3</v>
      </c>
      <c r="R832" s="19">
        <v>2</v>
      </c>
      <c r="S832" s="19">
        <v>33</v>
      </c>
      <c r="T832" s="14">
        <v>298500</v>
      </c>
      <c r="U832" s="14">
        <v>380000</v>
      </c>
      <c r="V832" s="14">
        <v>129000</v>
      </c>
      <c r="W832" s="4">
        <f t="shared" si="36"/>
        <v>0.27303182579564489</v>
      </c>
      <c r="Z832" s="11">
        <f t="shared" si="37"/>
        <v>0.33947368421052632</v>
      </c>
      <c r="AA832" s="19">
        <f t="shared" si="38"/>
        <v>251000</v>
      </c>
    </row>
    <row r="833" spans="2:27" x14ac:dyDescent="0.45">
      <c r="B833" s="7">
        <v>76</v>
      </c>
      <c r="C833" s="1" t="s">
        <v>441</v>
      </c>
      <c r="D833" s="1" t="s">
        <v>436</v>
      </c>
      <c r="E833" s="1" t="s">
        <v>475</v>
      </c>
      <c r="F833" s="1" t="s">
        <v>443</v>
      </c>
      <c r="G833" s="19">
        <v>11</v>
      </c>
      <c r="H833" s="19">
        <v>13</v>
      </c>
      <c r="I833" s="19">
        <v>33</v>
      </c>
      <c r="J833" s="19">
        <v>43</v>
      </c>
      <c r="K833" s="2" t="s">
        <v>237</v>
      </c>
      <c r="L833" s="2" t="s">
        <v>453</v>
      </c>
      <c r="M833" s="19">
        <v>2021</v>
      </c>
      <c r="N833" s="1" t="s">
        <v>447</v>
      </c>
      <c r="O833" s="19">
        <v>679</v>
      </c>
      <c r="P833" s="1" t="s">
        <v>18</v>
      </c>
      <c r="Q833" s="19">
        <v>3</v>
      </c>
      <c r="R833" s="22">
        <v>2</v>
      </c>
      <c r="S833" s="19">
        <v>30</v>
      </c>
      <c r="T833" s="15">
        <v>311500</v>
      </c>
      <c r="U833" s="14">
        <v>389000</v>
      </c>
      <c r="V833" s="14">
        <v>138000</v>
      </c>
      <c r="W833" s="4">
        <f t="shared" si="36"/>
        <v>0.24879614767255218</v>
      </c>
      <c r="Z833" s="11">
        <f t="shared" si="37"/>
        <v>0.35475578406169667</v>
      </c>
      <c r="AA833" s="19">
        <f t="shared" si="38"/>
        <v>251000</v>
      </c>
    </row>
    <row r="834" spans="2:27" x14ac:dyDescent="0.45">
      <c r="B834" s="7">
        <v>1449</v>
      </c>
      <c r="C834" s="1" t="s">
        <v>157</v>
      </c>
      <c r="D834" s="1" t="s">
        <v>929</v>
      </c>
      <c r="E834" s="1" t="s">
        <v>960</v>
      </c>
      <c r="F834" s="1" t="s">
        <v>936</v>
      </c>
      <c r="G834" s="19">
        <v>5</v>
      </c>
      <c r="H834" s="19">
        <v>12</v>
      </c>
      <c r="I834" s="19">
        <v>18</v>
      </c>
      <c r="J834" s="19">
        <v>30</v>
      </c>
      <c r="K834" s="2" t="s">
        <v>205</v>
      </c>
      <c r="L834" s="2" t="s">
        <v>439</v>
      </c>
      <c r="M834" s="19">
        <v>2009</v>
      </c>
      <c r="N834" s="1" t="s">
        <v>434</v>
      </c>
      <c r="O834" s="19">
        <v>2444</v>
      </c>
      <c r="P834" s="1" t="s">
        <v>18</v>
      </c>
      <c r="Q834" s="19">
        <v>3</v>
      </c>
      <c r="R834" s="19">
        <v>2</v>
      </c>
      <c r="S834" s="19">
        <v>26</v>
      </c>
      <c r="T834" s="14">
        <v>309500</v>
      </c>
      <c r="U834" s="14">
        <v>394500</v>
      </c>
      <c r="V834" s="14">
        <v>129000</v>
      </c>
      <c r="W834" s="4">
        <f t="shared" si="36"/>
        <v>0.27463651050080773</v>
      </c>
      <c r="Z834" s="11">
        <f t="shared" si="37"/>
        <v>0.3269961977186312</v>
      </c>
      <c r="AA834" s="19">
        <f t="shared" si="38"/>
        <v>265500</v>
      </c>
    </row>
    <row r="835" spans="2:27" x14ac:dyDescent="0.45">
      <c r="B835" s="7">
        <v>115</v>
      </c>
      <c r="C835" s="1" t="s">
        <v>444</v>
      </c>
      <c r="D835" s="1" t="s">
        <v>436</v>
      </c>
      <c r="E835" s="1" t="s">
        <v>485</v>
      </c>
      <c r="F835" s="1" t="s">
        <v>484</v>
      </c>
      <c r="G835" s="19">
        <v>5</v>
      </c>
      <c r="H835" s="19">
        <v>12</v>
      </c>
      <c r="I835" s="19">
        <v>35</v>
      </c>
      <c r="J835" s="19">
        <v>45</v>
      </c>
      <c r="K835" s="2" t="s">
        <v>113</v>
      </c>
      <c r="L835" s="2" t="s">
        <v>439</v>
      </c>
      <c r="M835" s="19">
        <v>2006</v>
      </c>
      <c r="N835" s="1" t="s">
        <v>434</v>
      </c>
      <c r="O835" s="19">
        <v>3002</v>
      </c>
      <c r="P835" s="1" t="s">
        <v>18</v>
      </c>
      <c r="Q835" s="19">
        <v>3</v>
      </c>
      <c r="R835" s="19">
        <v>2</v>
      </c>
      <c r="S835" s="19">
        <v>33</v>
      </c>
      <c r="T835" s="14">
        <v>320000</v>
      </c>
      <c r="U835" s="14">
        <v>399000</v>
      </c>
      <c r="V835" s="14">
        <v>144500</v>
      </c>
      <c r="W835" s="4">
        <f t="shared" si="36"/>
        <v>0.24687500000000001</v>
      </c>
      <c r="Z835" s="11">
        <f t="shared" si="37"/>
        <v>0.36215538847117795</v>
      </c>
      <c r="AA835" s="19">
        <f t="shared" si="38"/>
        <v>254500</v>
      </c>
    </row>
    <row r="836" spans="2:27" x14ac:dyDescent="0.45">
      <c r="B836" s="7">
        <v>1356</v>
      </c>
      <c r="C836" s="1" t="s">
        <v>157</v>
      </c>
      <c r="D836" s="1" t="s">
        <v>929</v>
      </c>
      <c r="E836" s="1" t="s">
        <v>935</v>
      </c>
      <c r="F836" s="1" t="s">
        <v>936</v>
      </c>
      <c r="G836" s="19">
        <v>5</v>
      </c>
      <c r="H836" s="19">
        <v>20</v>
      </c>
      <c r="I836" s="19">
        <v>18</v>
      </c>
      <c r="J836" s="19">
        <v>30</v>
      </c>
      <c r="K836" s="2" t="s">
        <v>315</v>
      </c>
      <c r="L836" s="2" t="s">
        <v>453</v>
      </c>
      <c r="M836" s="19">
        <v>2016</v>
      </c>
      <c r="N836" s="1" t="s">
        <v>434</v>
      </c>
      <c r="O836" s="19">
        <v>1612</v>
      </c>
      <c r="P836" s="1" t="s">
        <v>18</v>
      </c>
      <c r="Q836" s="19">
        <v>3</v>
      </c>
      <c r="R836" s="19">
        <v>2</v>
      </c>
      <c r="S836" s="19">
        <v>25</v>
      </c>
      <c r="T836" s="14">
        <v>365000</v>
      </c>
      <c r="U836" s="14">
        <v>409000</v>
      </c>
      <c r="V836" s="14">
        <v>134000</v>
      </c>
      <c r="W836" s="4">
        <f t="shared" si="36"/>
        <v>0.12054794520547946</v>
      </c>
      <c r="Z836" s="11">
        <f t="shared" si="37"/>
        <v>0.32762836185819072</v>
      </c>
      <c r="AA836" s="19">
        <f t="shared" si="38"/>
        <v>275000</v>
      </c>
    </row>
    <row r="837" spans="2:27" x14ac:dyDescent="0.45">
      <c r="B837" s="7">
        <v>132</v>
      </c>
      <c r="C837" s="1" t="s">
        <v>444</v>
      </c>
      <c r="D837" s="1" t="s">
        <v>436</v>
      </c>
      <c r="E837" s="1" t="s">
        <v>491</v>
      </c>
      <c r="F837" s="1" t="s">
        <v>454</v>
      </c>
      <c r="G837" s="19">
        <v>4</v>
      </c>
      <c r="H837" s="19">
        <v>11</v>
      </c>
      <c r="I837" s="19">
        <v>34</v>
      </c>
      <c r="J837" s="19">
        <v>43</v>
      </c>
      <c r="K837" s="2" t="s">
        <v>492</v>
      </c>
      <c r="L837" s="2" t="s">
        <v>439</v>
      </c>
      <c r="M837" s="19">
        <v>2008</v>
      </c>
      <c r="N837" s="1" t="s">
        <v>447</v>
      </c>
      <c r="O837" s="19">
        <v>768</v>
      </c>
      <c r="P837" s="1" t="s">
        <v>18</v>
      </c>
      <c r="Q837" s="19">
        <v>3</v>
      </c>
      <c r="R837" s="19">
        <v>2</v>
      </c>
      <c r="S837" s="19">
        <v>33</v>
      </c>
      <c r="T837" s="14">
        <v>297000</v>
      </c>
      <c r="U837" s="14">
        <v>410000</v>
      </c>
      <c r="V837" s="14">
        <v>169000</v>
      </c>
      <c r="W837" s="4">
        <f t="shared" si="36"/>
        <v>0.38047138047138046</v>
      </c>
      <c r="Z837" s="11">
        <f t="shared" si="37"/>
        <v>0.41219512195121949</v>
      </c>
      <c r="AA837" s="19">
        <f t="shared" si="38"/>
        <v>241000</v>
      </c>
    </row>
    <row r="838" spans="2:27" x14ac:dyDescent="0.45">
      <c r="B838" s="7">
        <v>65</v>
      </c>
      <c r="C838" s="1" t="s">
        <v>466</v>
      </c>
      <c r="D838" s="1" t="s">
        <v>436</v>
      </c>
      <c r="E838" s="1" t="s">
        <v>473</v>
      </c>
      <c r="F838" s="1" t="s">
        <v>471</v>
      </c>
      <c r="G838" s="19">
        <v>5</v>
      </c>
      <c r="H838" s="19">
        <v>12</v>
      </c>
      <c r="I838" s="19">
        <v>30</v>
      </c>
      <c r="J838" s="19">
        <v>40</v>
      </c>
      <c r="K838" s="2" t="s">
        <v>240</v>
      </c>
      <c r="L838" s="2" t="s">
        <v>474</v>
      </c>
      <c r="M838" s="19">
        <v>2018</v>
      </c>
      <c r="N838" s="1" t="s">
        <v>440</v>
      </c>
      <c r="O838" s="19">
        <v>416</v>
      </c>
      <c r="P838" s="1" t="s">
        <v>460</v>
      </c>
      <c r="Q838" s="19">
        <v>3</v>
      </c>
      <c r="R838" s="19">
        <v>2</v>
      </c>
      <c r="S838" s="19">
        <v>33</v>
      </c>
      <c r="T838" s="14">
        <v>320000</v>
      </c>
      <c r="U838" s="14">
        <v>415000</v>
      </c>
      <c r="V838" s="14">
        <v>145000</v>
      </c>
      <c r="W838" s="4">
        <f t="shared" ref="W838:W857" si="39">(U838-$T838)/$T838</f>
        <v>0.296875</v>
      </c>
      <c r="Z838" s="11">
        <f t="shared" ref="Z838:Z857" si="40">V838/U838</f>
        <v>0.3493975903614458</v>
      </c>
      <c r="AA838" s="19">
        <f t="shared" ref="AA838:AA857" si="41">U838-V838</f>
        <v>270000</v>
      </c>
    </row>
    <row r="839" spans="2:27" x14ac:dyDescent="0.45">
      <c r="B839" s="7">
        <v>1401</v>
      </c>
      <c r="C839" s="1" t="s">
        <v>133</v>
      </c>
      <c r="D839" s="1" t="s">
        <v>929</v>
      </c>
      <c r="E839" s="1" t="s">
        <v>945</v>
      </c>
      <c r="F839" s="1" t="s">
        <v>939</v>
      </c>
      <c r="G839" s="19">
        <v>6</v>
      </c>
      <c r="H839" s="19">
        <v>12</v>
      </c>
      <c r="I839" s="19">
        <v>35</v>
      </c>
      <c r="J839" s="19">
        <v>32</v>
      </c>
      <c r="K839" s="2" t="s">
        <v>262</v>
      </c>
      <c r="L839" s="2" t="s">
        <v>453</v>
      </c>
      <c r="M839" s="19">
        <v>2021</v>
      </c>
      <c r="N839" s="1" t="s">
        <v>434</v>
      </c>
      <c r="O839" s="19">
        <v>1446</v>
      </c>
      <c r="P839" s="1" t="s">
        <v>18</v>
      </c>
      <c r="Q839" s="19">
        <v>3</v>
      </c>
      <c r="R839" s="19">
        <v>2</v>
      </c>
      <c r="S839" s="19">
        <v>30</v>
      </c>
      <c r="T839" s="14">
        <v>0</v>
      </c>
      <c r="U839" s="14">
        <v>420000</v>
      </c>
      <c r="V839" s="14">
        <v>155000</v>
      </c>
      <c r="W839" s="4" t="e">
        <f t="shared" si="39"/>
        <v>#DIV/0!</v>
      </c>
      <c r="Z839" s="11">
        <f t="shared" si="40"/>
        <v>0.36904761904761907</v>
      </c>
      <c r="AA839" s="19">
        <f t="shared" si="41"/>
        <v>265000</v>
      </c>
    </row>
    <row r="840" spans="2:27" x14ac:dyDescent="0.45">
      <c r="B840" s="7">
        <v>1457</v>
      </c>
      <c r="C840" s="1" t="s">
        <v>157</v>
      </c>
      <c r="D840" s="1" t="s">
        <v>929</v>
      </c>
      <c r="E840" s="1" t="s">
        <v>962</v>
      </c>
      <c r="F840" s="1" t="s">
        <v>936</v>
      </c>
      <c r="G840" s="19">
        <v>6</v>
      </c>
      <c r="H840" s="19">
        <v>15</v>
      </c>
      <c r="I840" s="19">
        <v>18</v>
      </c>
      <c r="J840" s="19">
        <v>30</v>
      </c>
      <c r="K840" s="2" t="s">
        <v>158</v>
      </c>
      <c r="L840" s="2" t="s">
        <v>453</v>
      </c>
      <c r="M840" s="19">
        <v>2023</v>
      </c>
      <c r="N840" s="1" t="s">
        <v>434</v>
      </c>
      <c r="O840" s="19">
        <v>2990</v>
      </c>
      <c r="P840" s="1" t="s">
        <v>18</v>
      </c>
      <c r="Q840" s="19">
        <v>3</v>
      </c>
      <c r="R840" s="19">
        <v>2</v>
      </c>
      <c r="S840" s="19">
        <v>25</v>
      </c>
      <c r="T840" s="14">
        <v>360000</v>
      </c>
      <c r="U840" s="14">
        <v>420000</v>
      </c>
      <c r="V840" s="14">
        <v>140000</v>
      </c>
      <c r="W840" s="4">
        <f t="shared" si="39"/>
        <v>0.16666666666666666</v>
      </c>
      <c r="Z840" s="11">
        <f t="shared" si="40"/>
        <v>0.33333333333333331</v>
      </c>
      <c r="AA840" s="19">
        <f t="shared" si="41"/>
        <v>280000</v>
      </c>
    </row>
    <row r="841" spans="2:27" x14ac:dyDescent="0.45">
      <c r="B841" s="7">
        <v>1402</v>
      </c>
      <c r="C841" s="1" t="s">
        <v>133</v>
      </c>
      <c r="D841" s="1" t="s">
        <v>929</v>
      </c>
      <c r="E841" s="1" t="s">
        <v>945</v>
      </c>
      <c r="F841" s="1" t="s">
        <v>939</v>
      </c>
      <c r="G841" s="19">
        <v>6</v>
      </c>
      <c r="H841" s="19">
        <v>12</v>
      </c>
      <c r="I841" s="19">
        <v>35</v>
      </c>
      <c r="J841" s="19">
        <v>32</v>
      </c>
      <c r="K841" s="2" t="s">
        <v>262</v>
      </c>
      <c r="L841" s="2" t="s">
        <v>453</v>
      </c>
      <c r="M841" s="19">
        <v>2021</v>
      </c>
      <c r="N841" s="1" t="s">
        <v>434</v>
      </c>
      <c r="O841" s="19">
        <v>1446</v>
      </c>
      <c r="P841" s="1" t="s">
        <v>18</v>
      </c>
      <c r="Q841" s="19">
        <v>3</v>
      </c>
      <c r="R841" s="19">
        <v>2</v>
      </c>
      <c r="S841" s="19">
        <v>33</v>
      </c>
      <c r="T841" s="14">
        <v>330000</v>
      </c>
      <c r="U841" s="14">
        <v>425000</v>
      </c>
      <c r="V841" s="14">
        <v>173000</v>
      </c>
      <c r="W841" s="4">
        <f t="shared" si="39"/>
        <v>0.2878787878787879</v>
      </c>
      <c r="Z841" s="11">
        <f t="shared" si="40"/>
        <v>0.40705882352941175</v>
      </c>
      <c r="AA841" s="19">
        <f t="shared" si="41"/>
        <v>252000</v>
      </c>
    </row>
    <row r="842" spans="2:27" x14ac:dyDescent="0.45">
      <c r="B842" s="7">
        <v>1453</v>
      </c>
      <c r="C842" s="1" t="s">
        <v>157</v>
      </c>
      <c r="D842" s="1" t="s">
        <v>929</v>
      </c>
      <c r="E842" s="1" t="s">
        <v>961</v>
      </c>
      <c r="F842" s="1" t="s">
        <v>955</v>
      </c>
      <c r="G842" s="19">
        <v>8</v>
      </c>
      <c r="H842" s="19">
        <v>15</v>
      </c>
      <c r="I842" s="19">
        <v>22</v>
      </c>
      <c r="J842" s="19">
        <v>28</v>
      </c>
      <c r="K842" s="2" t="s">
        <v>180</v>
      </c>
      <c r="L842" s="2" t="s">
        <v>453</v>
      </c>
      <c r="M842" s="19">
        <v>2025</v>
      </c>
      <c r="N842" s="1" t="s">
        <v>434</v>
      </c>
      <c r="O842" s="19">
        <v>3307</v>
      </c>
      <c r="P842" s="1" t="s">
        <v>18</v>
      </c>
      <c r="Q842" s="19">
        <v>3</v>
      </c>
      <c r="R842" s="19">
        <v>2</v>
      </c>
      <c r="S842" s="19">
        <v>25</v>
      </c>
      <c r="T842" s="14">
        <v>0</v>
      </c>
      <c r="U842" s="14">
        <v>425000</v>
      </c>
      <c r="V842" s="14">
        <v>134500</v>
      </c>
      <c r="W842" s="4" t="e">
        <f t="shared" si="39"/>
        <v>#DIV/0!</v>
      </c>
      <c r="Z842" s="11">
        <f t="shared" si="40"/>
        <v>0.31647058823529411</v>
      </c>
      <c r="AA842" s="19">
        <f t="shared" si="41"/>
        <v>290500</v>
      </c>
    </row>
    <row r="843" spans="2:27" x14ac:dyDescent="0.45">
      <c r="B843" s="7">
        <v>1459</v>
      </c>
      <c r="C843" s="1" t="s">
        <v>133</v>
      </c>
      <c r="D843" s="1" t="s">
        <v>929</v>
      </c>
      <c r="E843" s="1" t="s">
        <v>963</v>
      </c>
      <c r="F843" s="1" t="s">
        <v>930</v>
      </c>
      <c r="G843" s="19">
        <v>5</v>
      </c>
      <c r="H843" s="19">
        <v>18</v>
      </c>
      <c r="I843" s="19">
        <v>25</v>
      </c>
      <c r="J843" s="19">
        <v>30</v>
      </c>
      <c r="K843" s="2" t="s">
        <v>152</v>
      </c>
      <c r="L843" s="2" t="s">
        <v>453</v>
      </c>
      <c r="M843" s="19">
        <v>2016</v>
      </c>
      <c r="N843" s="1" t="s">
        <v>447</v>
      </c>
      <c r="O843" s="19">
        <v>843</v>
      </c>
      <c r="P843" s="1" t="s">
        <v>18</v>
      </c>
      <c r="Q843" s="19">
        <v>3</v>
      </c>
      <c r="R843" s="19">
        <v>2</v>
      </c>
      <c r="S843" s="19">
        <v>33</v>
      </c>
      <c r="T843" s="14">
        <v>342500</v>
      </c>
      <c r="U843" s="14">
        <v>425000</v>
      </c>
      <c r="V843" s="14">
        <v>149000</v>
      </c>
      <c r="W843" s="4">
        <f t="shared" si="39"/>
        <v>0.24087591240875914</v>
      </c>
      <c r="Z843" s="11">
        <f t="shared" si="40"/>
        <v>0.35058823529411764</v>
      </c>
      <c r="AA843" s="19">
        <f t="shared" si="41"/>
        <v>276000</v>
      </c>
    </row>
    <row r="844" spans="2:27" x14ac:dyDescent="0.45">
      <c r="B844" s="7">
        <v>1758</v>
      </c>
      <c r="C844" s="1" t="s">
        <v>308</v>
      </c>
      <c r="D844" s="1" t="s">
        <v>1032</v>
      </c>
      <c r="E844" s="1" t="s">
        <v>1042</v>
      </c>
      <c r="F844" s="1" t="s">
        <v>1043</v>
      </c>
      <c r="G844" s="19">
        <v>5</v>
      </c>
      <c r="H844" s="19">
        <v>18</v>
      </c>
      <c r="I844" s="19">
        <v>32</v>
      </c>
      <c r="J844" s="19">
        <v>35</v>
      </c>
      <c r="K844" s="2" t="s">
        <v>370</v>
      </c>
      <c r="L844" s="2" t="s">
        <v>433</v>
      </c>
      <c r="M844" s="19">
        <v>1978</v>
      </c>
      <c r="N844" s="1" t="s">
        <v>434</v>
      </c>
      <c r="O844" s="19">
        <v>3930</v>
      </c>
      <c r="P844" s="1" t="s">
        <v>18</v>
      </c>
      <c r="Q844" s="19">
        <v>3</v>
      </c>
      <c r="R844" s="19">
        <v>2</v>
      </c>
      <c r="S844" s="19">
        <v>33</v>
      </c>
      <c r="T844" s="14">
        <v>250800</v>
      </c>
      <c r="U844" s="14">
        <v>430000</v>
      </c>
      <c r="V844" s="14">
        <v>43000</v>
      </c>
      <c r="W844" s="4">
        <f t="shared" si="39"/>
        <v>0.71451355661881977</v>
      </c>
      <c r="Z844" s="11">
        <f t="shared" si="40"/>
        <v>0.1</v>
      </c>
      <c r="AA844" s="19">
        <f t="shared" si="41"/>
        <v>387000</v>
      </c>
    </row>
    <row r="845" spans="2:27" x14ac:dyDescent="0.45">
      <c r="B845" s="7">
        <v>1444</v>
      </c>
      <c r="C845" s="1" t="s">
        <v>133</v>
      </c>
      <c r="D845" s="1" t="s">
        <v>929</v>
      </c>
      <c r="E845" s="1" t="s">
        <v>959</v>
      </c>
      <c r="F845" s="1" t="s">
        <v>957</v>
      </c>
      <c r="G845" s="19">
        <v>4</v>
      </c>
      <c r="H845" s="19">
        <v>12</v>
      </c>
      <c r="I845" s="19">
        <v>25</v>
      </c>
      <c r="J845" s="19">
        <v>28</v>
      </c>
      <c r="K845" s="2" t="s">
        <v>206</v>
      </c>
      <c r="L845" s="2" t="s">
        <v>439</v>
      </c>
      <c r="M845" s="19">
        <v>2011</v>
      </c>
      <c r="N845" s="1" t="s">
        <v>434</v>
      </c>
      <c r="O845" s="19">
        <v>1119</v>
      </c>
      <c r="P845" s="1" t="s">
        <v>18</v>
      </c>
      <c r="Q845" s="19">
        <v>3</v>
      </c>
      <c r="R845" s="19">
        <v>2</v>
      </c>
      <c r="S845" s="19">
        <v>33</v>
      </c>
      <c r="T845" s="14">
        <v>349000</v>
      </c>
      <c r="U845" s="14">
        <v>439000</v>
      </c>
      <c r="V845" s="14">
        <v>154000</v>
      </c>
      <c r="W845" s="4">
        <f t="shared" si="39"/>
        <v>0.25787965616045844</v>
      </c>
      <c r="Z845" s="11">
        <f t="shared" si="40"/>
        <v>0.35079726651480636</v>
      </c>
      <c r="AA845" s="19">
        <f t="shared" si="41"/>
        <v>285000</v>
      </c>
    </row>
    <row r="846" spans="2:27" x14ac:dyDescent="0.45">
      <c r="B846" s="7">
        <v>9</v>
      </c>
      <c r="C846" s="1" t="s">
        <v>444</v>
      </c>
      <c r="D846" s="1" t="s">
        <v>436</v>
      </c>
      <c r="E846" s="1" t="s">
        <v>445</v>
      </c>
      <c r="F846" s="1" t="s">
        <v>446</v>
      </c>
      <c r="G846" s="19">
        <v>4</v>
      </c>
      <c r="H846" s="19">
        <v>22</v>
      </c>
      <c r="I846" s="19">
        <v>30</v>
      </c>
      <c r="J846" s="19">
        <v>42</v>
      </c>
      <c r="K846" s="2" t="s">
        <v>405</v>
      </c>
      <c r="L846" s="2" t="s">
        <v>439</v>
      </c>
      <c r="M846" s="19">
        <v>2011</v>
      </c>
      <c r="N846" s="1" t="s">
        <v>447</v>
      </c>
      <c r="O846" s="19">
        <v>708</v>
      </c>
      <c r="P846" s="1" t="s">
        <v>18</v>
      </c>
      <c r="Q846" s="19">
        <v>3</v>
      </c>
      <c r="R846" s="19">
        <v>2</v>
      </c>
      <c r="S846" s="19">
        <v>33</v>
      </c>
      <c r="T846" s="14">
        <v>329900</v>
      </c>
      <c r="U846" s="14">
        <v>459000</v>
      </c>
      <c r="V846" s="14">
        <v>140000</v>
      </c>
      <c r="W846" s="4">
        <f t="shared" si="39"/>
        <v>0.39133070627462868</v>
      </c>
      <c r="Z846" s="11">
        <f t="shared" si="40"/>
        <v>0.30501089324618735</v>
      </c>
      <c r="AA846" s="19">
        <f t="shared" si="41"/>
        <v>319000</v>
      </c>
    </row>
    <row r="847" spans="2:27" x14ac:dyDescent="0.45">
      <c r="B847" s="7">
        <v>74</v>
      </c>
      <c r="C847" s="1" t="s">
        <v>444</v>
      </c>
      <c r="D847" s="1" t="s">
        <v>436</v>
      </c>
      <c r="E847" s="1" t="s">
        <v>475</v>
      </c>
      <c r="F847" s="1" t="s">
        <v>443</v>
      </c>
      <c r="G847" s="19">
        <v>11</v>
      </c>
      <c r="H847" s="19">
        <v>13</v>
      </c>
      <c r="I847" s="19">
        <v>33</v>
      </c>
      <c r="J847" s="19">
        <v>43</v>
      </c>
      <c r="K847" s="2" t="s">
        <v>237</v>
      </c>
      <c r="L847" s="2" t="s">
        <v>453</v>
      </c>
      <c r="M847" s="19">
        <v>2021</v>
      </c>
      <c r="N847" s="1" t="s">
        <v>447</v>
      </c>
      <c r="O847" s="19">
        <v>679</v>
      </c>
      <c r="P847" s="1" t="s">
        <v>18</v>
      </c>
      <c r="Q847" s="19">
        <v>3</v>
      </c>
      <c r="R847" s="19">
        <v>2</v>
      </c>
      <c r="S847" s="19">
        <v>33</v>
      </c>
      <c r="T847" s="14">
        <v>357000</v>
      </c>
      <c r="U847" s="14">
        <v>460000</v>
      </c>
      <c r="V847" s="14">
        <v>168500</v>
      </c>
      <c r="W847" s="4">
        <f t="shared" si="39"/>
        <v>0.28851540616246496</v>
      </c>
      <c r="Z847" s="11">
        <f t="shared" si="40"/>
        <v>0.36630434782608695</v>
      </c>
      <c r="AA847" s="19">
        <f t="shared" si="41"/>
        <v>291500</v>
      </c>
    </row>
    <row r="848" spans="2:27" x14ac:dyDescent="0.45">
      <c r="B848" s="7">
        <v>1435</v>
      </c>
      <c r="C848" s="1" t="s">
        <v>157</v>
      </c>
      <c r="D848" s="1" t="s">
        <v>929</v>
      </c>
      <c r="E848" s="1" t="s">
        <v>956</v>
      </c>
      <c r="F848" s="1" t="s">
        <v>955</v>
      </c>
      <c r="G848" s="19">
        <v>4</v>
      </c>
      <c r="H848" s="19">
        <v>10</v>
      </c>
      <c r="I848" s="19">
        <v>25</v>
      </c>
      <c r="J848" s="19">
        <v>28</v>
      </c>
      <c r="K848" s="2" t="s">
        <v>208</v>
      </c>
      <c r="L848" s="2" t="s">
        <v>439</v>
      </c>
      <c r="M848" s="19">
        <v>2009</v>
      </c>
      <c r="N848" s="1" t="s">
        <v>434</v>
      </c>
      <c r="O848" s="19">
        <v>3410</v>
      </c>
      <c r="P848" s="1" t="s">
        <v>18</v>
      </c>
      <c r="Q848" s="19">
        <v>3</v>
      </c>
      <c r="R848" s="19">
        <v>2</v>
      </c>
      <c r="S848" s="19">
        <v>33</v>
      </c>
      <c r="T848" s="14">
        <v>397000</v>
      </c>
      <c r="U848" s="14">
        <v>470000</v>
      </c>
      <c r="V848" s="14">
        <v>136500</v>
      </c>
      <c r="W848" s="4">
        <f t="shared" si="39"/>
        <v>0.18387909319899245</v>
      </c>
      <c r="Z848" s="11">
        <f t="shared" si="40"/>
        <v>0.29042553191489362</v>
      </c>
      <c r="AA848" s="19">
        <f t="shared" si="41"/>
        <v>333500</v>
      </c>
    </row>
    <row r="849" spans="2:27" x14ac:dyDescent="0.45">
      <c r="B849" s="7">
        <v>88</v>
      </c>
      <c r="C849" s="1" t="s">
        <v>444</v>
      </c>
      <c r="D849" s="1" t="s">
        <v>436</v>
      </c>
      <c r="E849" s="1" t="s">
        <v>478</v>
      </c>
      <c r="F849" s="1" t="s">
        <v>454</v>
      </c>
      <c r="G849" s="19">
        <v>7</v>
      </c>
      <c r="H849" s="19">
        <v>12</v>
      </c>
      <c r="I849" s="19">
        <v>35</v>
      </c>
      <c r="J849" s="19">
        <v>45</v>
      </c>
      <c r="K849" s="2" t="s">
        <v>141</v>
      </c>
      <c r="L849" s="2" t="s">
        <v>439</v>
      </c>
      <c r="M849" s="19">
        <v>2015</v>
      </c>
      <c r="N849" s="1" t="s">
        <v>434</v>
      </c>
      <c r="O849" s="19">
        <v>1278</v>
      </c>
      <c r="P849" s="1" t="s">
        <v>18</v>
      </c>
      <c r="Q849" s="19">
        <v>3</v>
      </c>
      <c r="R849" s="19">
        <v>2</v>
      </c>
      <c r="S849" s="19">
        <v>33</v>
      </c>
      <c r="T849" s="14">
        <v>360000</v>
      </c>
      <c r="U849" s="14">
        <v>475000</v>
      </c>
      <c r="V849" s="14">
        <v>179000</v>
      </c>
      <c r="W849" s="4">
        <f t="shared" si="39"/>
        <v>0.31944444444444442</v>
      </c>
      <c r="Z849" s="11">
        <f t="shared" si="40"/>
        <v>0.37684210526315787</v>
      </c>
      <c r="AA849" s="19">
        <f t="shared" si="41"/>
        <v>296000</v>
      </c>
    </row>
    <row r="850" spans="2:27" x14ac:dyDescent="0.45">
      <c r="B850" s="7">
        <v>1365</v>
      </c>
      <c r="C850" s="1" t="s">
        <v>133</v>
      </c>
      <c r="D850" s="1" t="s">
        <v>929</v>
      </c>
      <c r="E850" s="1" t="s">
        <v>938</v>
      </c>
      <c r="F850" s="1" t="s">
        <v>932</v>
      </c>
      <c r="G850" s="19">
        <v>4</v>
      </c>
      <c r="H850" s="19">
        <v>12</v>
      </c>
      <c r="I850" s="19">
        <v>22</v>
      </c>
      <c r="J850" s="19">
        <v>28</v>
      </c>
      <c r="K850" s="2" t="s">
        <v>303</v>
      </c>
      <c r="L850" s="2" t="s">
        <v>433</v>
      </c>
      <c r="M850" s="19">
        <v>1979</v>
      </c>
      <c r="N850" s="1" t="s">
        <v>434</v>
      </c>
      <c r="O850" s="19">
        <v>1212</v>
      </c>
      <c r="P850" s="1" t="s">
        <v>5</v>
      </c>
      <c r="Q850" s="19">
        <v>3</v>
      </c>
      <c r="R850" s="19">
        <v>1</v>
      </c>
      <c r="S850" s="19">
        <v>33</v>
      </c>
      <c r="T850" s="14">
        <v>327000</v>
      </c>
      <c r="U850" s="14">
        <v>478000</v>
      </c>
      <c r="V850" s="14">
        <v>70000</v>
      </c>
      <c r="W850" s="4">
        <f t="shared" si="39"/>
        <v>0.46177370030581039</v>
      </c>
      <c r="Z850" s="11">
        <f t="shared" si="40"/>
        <v>0.14644351464435146</v>
      </c>
      <c r="AA850" s="19">
        <f t="shared" si="41"/>
        <v>408000</v>
      </c>
    </row>
    <row r="851" spans="2:27" x14ac:dyDescent="0.45">
      <c r="B851" s="7">
        <v>1448</v>
      </c>
      <c r="C851" s="1" t="s">
        <v>157</v>
      </c>
      <c r="D851" s="1" t="s">
        <v>929</v>
      </c>
      <c r="E851" s="1" t="s">
        <v>960</v>
      </c>
      <c r="F851" s="1" t="s">
        <v>936</v>
      </c>
      <c r="G851" s="19">
        <v>5</v>
      </c>
      <c r="H851" s="19">
        <v>12</v>
      </c>
      <c r="I851" s="19">
        <v>18</v>
      </c>
      <c r="J851" s="19">
        <v>30</v>
      </c>
      <c r="K851" s="2" t="s">
        <v>205</v>
      </c>
      <c r="L851" s="2" t="s">
        <v>439</v>
      </c>
      <c r="M851" s="19">
        <v>2009</v>
      </c>
      <c r="N851" s="1" t="s">
        <v>434</v>
      </c>
      <c r="O851" s="19">
        <v>2444</v>
      </c>
      <c r="P851" s="1" t="s">
        <v>18</v>
      </c>
      <c r="Q851" s="19">
        <v>3</v>
      </c>
      <c r="R851" s="19">
        <v>2</v>
      </c>
      <c r="S851" s="19">
        <v>33</v>
      </c>
      <c r="T851" s="14">
        <v>430000</v>
      </c>
      <c r="U851" s="14">
        <v>489000</v>
      </c>
      <c r="V851" s="14">
        <v>170000</v>
      </c>
      <c r="W851" s="4">
        <f t="shared" si="39"/>
        <v>0.1372093023255814</v>
      </c>
      <c r="Z851" s="11">
        <f t="shared" si="40"/>
        <v>0.34764826175869118</v>
      </c>
      <c r="AA851" s="19">
        <f t="shared" si="41"/>
        <v>319000</v>
      </c>
    </row>
    <row r="852" spans="2:27" x14ac:dyDescent="0.45">
      <c r="B852" s="7">
        <v>1358</v>
      </c>
      <c r="C852" s="1" t="s">
        <v>147</v>
      </c>
      <c r="D852" s="1" t="s">
        <v>929</v>
      </c>
      <c r="E852" s="1" t="s">
        <v>937</v>
      </c>
      <c r="F852" s="1" t="s">
        <v>930</v>
      </c>
      <c r="G852" s="19">
        <v>10</v>
      </c>
      <c r="H852" s="19">
        <v>22</v>
      </c>
      <c r="I852" s="19">
        <v>25</v>
      </c>
      <c r="J852" s="19">
        <v>32</v>
      </c>
      <c r="K852" s="2" t="s">
        <v>314</v>
      </c>
      <c r="L852" s="2" t="s">
        <v>453</v>
      </c>
      <c r="M852" s="19">
        <v>2018</v>
      </c>
      <c r="N852" s="1" t="s">
        <v>447</v>
      </c>
      <c r="O852" s="19">
        <v>595</v>
      </c>
      <c r="P852" s="1" t="s">
        <v>18</v>
      </c>
      <c r="Q852" s="19">
        <v>3</v>
      </c>
      <c r="R852" s="19">
        <v>2</v>
      </c>
      <c r="S852" s="19">
        <v>33</v>
      </c>
      <c r="T852" s="14">
        <v>438000</v>
      </c>
      <c r="U852" s="14">
        <v>500000</v>
      </c>
      <c r="V852" s="14">
        <v>160000</v>
      </c>
      <c r="W852" s="4">
        <f t="shared" si="39"/>
        <v>0.14155251141552511</v>
      </c>
      <c r="Z852" s="11">
        <f t="shared" si="40"/>
        <v>0.32</v>
      </c>
      <c r="AA852" s="19">
        <f t="shared" si="41"/>
        <v>340000</v>
      </c>
    </row>
    <row r="853" spans="2:27" x14ac:dyDescent="0.45">
      <c r="B853" s="7">
        <v>1456</v>
      </c>
      <c r="C853" s="1" t="s">
        <v>157</v>
      </c>
      <c r="D853" s="1" t="s">
        <v>929</v>
      </c>
      <c r="E853" s="1" t="s">
        <v>962</v>
      </c>
      <c r="F853" s="1" t="s">
        <v>936</v>
      </c>
      <c r="G853" s="19">
        <v>6</v>
      </c>
      <c r="H853" s="19">
        <v>15</v>
      </c>
      <c r="I853" s="19">
        <v>18</v>
      </c>
      <c r="J853" s="19">
        <v>30</v>
      </c>
      <c r="K853" s="2" t="s">
        <v>158</v>
      </c>
      <c r="L853" s="2" t="s">
        <v>453</v>
      </c>
      <c r="M853" s="19">
        <v>2023</v>
      </c>
      <c r="N853" s="1" t="s">
        <v>434</v>
      </c>
      <c r="O853" s="19">
        <v>2990</v>
      </c>
      <c r="P853" s="1" t="s">
        <v>18</v>
      </c>
      <c r="Q853" s="19">
        <v>3</v>
      </c>
      <c r="R853" s="19">
        <v>2</v>
      </c>
      <c r="S853" s="19">
        <v>30</v>
      </c>
      <c r="T853" s="14">
        <v>0</v>
      </c>
      <c r="U853" s="14">
        <v>518500</v>
      </c>
      <c r="V853" s="14">
        <v>164000</v>
      </c>
      <c r="W853" s="4" t="e">
        <f t="shared" si="39"/>
        <v>#DIV/0!</v>
      </c>
      <c r="Z853" s="11">
        <f t="shared" si="40"/>
        <v>0.31629701060752169</v>
      </c>
      <c r="AA853" s="19">
        <f t="shared" si="41"/>
        <v>354500</v>
      </c>
    </row>
    <row r="854" spans="2:27" x14ac:dyDescent="0.45">
      <c r="B854" s="7">
        <v>1454</v>
      </c>
      <c r="C854" s="1" t="s">
        <v>157</v>
      </c>
      <c r="D854" s="1" t="s">
        <v>929</v>
      </c>
      <c r="E854" s="1" t="s">
        <v>961</v>
      </c>
      <c r="F854" s="1" t="s">
        <v>955</v>
      </c>
      <c r="G854" s="19">
        <v>8</v>
      </c>
      <c r="H854" s="19">
        <v>15</v>
      </c>
      <c r="I854" s="19">
        <v>22</v>
      </c>
      <c r="J854" s="19">
        <v>28</v>
      </c>
      <c r="K854" s="2" t="s">
        <v>180</v>
      </c>
      <c r="L854" s="2" t="s">
        <v>453</v>
      </c>
      <c r="M854" s="19">
        <v>2025</v>
      </c>
      <c r="N854" s="1" t="s">
        <v>434</v>
      </c>
      <c r="O854" s="19">
        <v>3307</v>
      </c>
      <c r="P854" s="1" t="s">
        <v>18</v>
      </c>
      <c r="Q854" s="19">
        <v>3</v>
      </c>
      <c r="R854" s="19">
        <v>2</v>
      </c>
      <c r="S854" s="19">
        <v>33</v>
      </c>
      <c r="T854" s="14">
        <v>0</v>
      </c>
      <c r="U854" s="14">
        <v>540000</v>
      </c>
      <c r="V854" s="14">
        <v>169000</v>
      </c>
      <c r="W854" s="4" t="e">
        <f t="shared" si="39"/>
        <v>#DIV/0!</v>
      </c>
      <c r="Z854" s="11">
        <f t="shared" si="40"/>
        <v>0.31296296296296294</v>
      </c>
      <c r="AA854" s="19">
        <f t="shared" si="41"/>
        <v>371000</v>
      </c>
    </row>
    <row r="855" spans="2:27" x14ac:dyDescent="0.45">
      <c r="B855" s="7">
        <v>1357</v>
      </c>
      <c r="C855" s="1" t="s">
        <v>157</v>
      </c>
      <c r="D855" s="1" t="s">
        <v>929</v>
      </c>
      <c r="E855" s="1" t="s">
        <v>935</v>
      </c>
      <c r="F855" s="1" t="s">
        <v>936</v>
      </c>
      <c r="G855" s="19">
        <v>5</v>
      </c>
      <c r="H855" s="19">
        <v>20</v>
      </c>
      <c r="I855" s="19">
        <v>18</v>
      </c>
      <c r="J855" s="19">
        <v>30</v>
      </c>
      <c r="K855" s="2" t="s">
        <v>315</v>
      </c>
      <c r="L855" s="2" t="s">
        <v>453</v>
      </c>
      <c r="M855" s="19">
        <v>2016</v>
      </c>
      <c r="N855" s="1" t="s">
        <v>434</v>
      </c>
      <c r="O855" s="19">
        <v>1612</v>
      </c>
      <c r="P855" s="1" t="s">
        <v>18</v>
      </c>
      <c r="Q855" s="19">
        <v>3</v>
      </c>
      <c r="R855" s="19">
        <v>2</v>
      </c>
      <c r="S855" s="19">
        <v>33</v>
      </c>
      <c r="T855" s="14">
        <v>450000</v>
      </c>
      <c r="U855" s="14">
        <v>549000</v>
      </c>
      <c r="V855" s="14">
        <v>169000</v>
      </c>
      <c r="W855" s="4">
        <f t="shared" si="39"/>
        <v>0.22</v>
      </c>
      <c r="Z855" s="11">
        <f t="shared" si="40"/>
        <v>0.30783242258652094</v>
      </c>
      <c r="AA855" s="19">
        <f t="shared" si="41"/>
        <v>380000</v>
      </c>
    </row>
    <row r="856" spans="2:27" x14ac:dyDescent="0.45">
      <c r="B856" s="7">
        <v>1458</v>
      </c>
      <c r="C856" s="1" t="s">
        <v>157</v>
      </c>
      <c r="D856" s="1" t="s">
        <v>929</v>
      </c>
      <c r="E856" s="1" t="s">
        <v>962</v>
      </c>
      <c r="F856" s="1" t="s">
        <v>936</v>
      </c>
      <c r="G856" s="19">
        <v>6</v>
      </c>
      <c r="H856" s="19">
        <v>15</v>
      </c>
      <c r="I856" s="19">
        <v>18</v>
      </c>
      <c r="J856" s="19">
        <v>30</v>
      </c>
      <c r="K856" s="2" t="s">
        <v>158</v>
      </c>
      <c r="L856" s="2" t="s">
        <v>453</v>
      </c>
      <c r="M856" s="19">
        <v>2023</v>
      </c>
      <c r="N856" s="1" t="s">
        <v>434</v>
      </c>
      <c r="O856" s="19">
        <v>2990</v>
      </c>
      <c r="P856" s="1" t="s">
        <v>18</v>
      </c>
      <c r="Q856" s="19">
        <v>3</v>
      </c>
      <c r="R856" s="19">
        <v>2</v>
      </c>
      <c r="S856" s="19">
        <v>33</v>
      </c>
      <c r="T856" s="14">
        <v>0</v>
      </c>
      <c r="U856" s="14">
        <v>589000</v>
      </c>
      <c r="V856" s="14">
        <v>170000</v>
      </c>
      <c r="W856" s="4" t="e">
        <f t="shared" si="39"/>
        <v>#DIV/0!</v>
      </c>
      <c r="Z856" s="11">
        <f t="shared" si="40"/>
        <v>0.28862478777589134</v>
      </c>
      <c r="AA856" s="19">
        <f t="shared" si="41"/>
        <v>419000</v>
      </c>
    </row>
    <row r="857" spans="2:27" x14ac:dyDescent="0.45">
      <c r="B857" s="7">
        <v>44</v>
      </c>
      <c r="C857" s="1" t="s">
        <v>444</v>
      </c>
      <c r="D857" s="1" t="s">
        <v>436</v>
      </c>
      <c r="E857" s="1" t="s">
        <v>455</v>
      </c>
      <c r="F857" s="1" t="s">
        <v>456</v>
      </c>
      <c r="G857" s="19">
        <v>12</v>
      </c>
      <c r="H857" s="19">
        <v>15</v>
      </c>
      <c r="I857" s="19">
        <v>35</v>
      </c>
      <c r="J857" s="19">
        <v>25</v>
      </c>
      <c r="K857" s="2" t="s">
        <v>316</v>
      </c>
      <c r="L857" s="2" t="s">
        <v>433</v>
      </c>
      <c r="M857" s="19">
        <v>1987</v>
      </c>
      <c r="N857" s="1" t="s">
        <v>447</v>
      </c>
      <c r="O857" s="19">
        <v>766</v>
      </c>
      <c r="P857" s="1" t="s">
        <v>18</v>
      </c>
      <c r="Q857" s="19">
        <v>3</v>
      </c>
      <c r="R857" s="19">
        <v>2</v>
      </c>
      <c r="S857" s="19">
        <v>29</v>
      </c>
      <c r="T857" s="14">
        <v>430000</v>
      </c>
      <c r="U857" s="14">
        <v>650000</v>
      </c>
      <c r="V857" s="14">
        <v>95000</v>
      </c>
      <c r="W857" s="4">
        <f t="shared" si="39"/>
        <v>0.51162790697674421</v>
      </c>
      <c r="Z857" s="11">
        <f t="shared" si="40"/>
        <v>0.14615384615384616</v>
      </c>
      <c r="AA857" s="19">
        <f t="shared" si="41"/>
        <v>555000</v>
      </c>
    </row>
    <row r="858" spans="2:27" x14ac:dyDescent="0.45">
      <c r="G858"/>
      <c r="H858"/>
      <c r="I858"/>
      <c r="J858"/>
      <c r="M858"/>
      <c r="O858"/>
      <c r="Q858"/>
      <c r="R858"/>
      <c r="S858"/>
      <c r="T858"/>
      <c r="U858"/>
      <c r="V858"/>
      <c r="Z858"/>
      <c r="AA858"/>
    </row>
    <row r="859" spans="2:27" x14ac:dyDescent="0.45">
      <c r="G859"/>
      <c r="H859"/>
      <c r="I859"/>
      <c r="J859"/>
      <c r="M859"/>
      <c r="O859"/>
      <c r="Q859"/>
      <c r="R859"/>
      <c r="S859"/>
      <c r="T859"/>
      <c r="U859"/>
      <c r="V859"/>
      <c r="Z859"/>
      <c r="AA859"/>
    </row>
    <row r="860" spans="2:27" x14ac:dyDescent="0.45">
      <c r="G860"/>
      <c r="H860"/>
      <c r="I860"/>
      <c r="J860"/>
      <c r="M860"/>
      <c r="O860"/>
      <c r="Q860"/>
      <c r="R860"/>
      <c r="S860"/>
      <c r="T860"/>
      <c r="U860"/>
      <c r="V860"/>
      <c r="Z860"/>
      <c r="AA860"/>
    </row>
    <row r="861" spans="2:27" x14ac:dyDescent="0.45">
      <c r="G861"/>
      <c r="H861"/>
      <c r="I861"/>
      <c r="J861"/>
      <c r="M861"/>
      <c r="O861"/>
      <c r="Q861"/>
      <c r="R861"/>
      <c r="S861"/>
      <c r="T861"/>
      <c r="U861"/>
      <c r="V861"/>
      <c r="Z861"/>
      <c r="AA861"/>
    </row>
    <row r="862" spans="2:27" x14ac:dyDescent="0.45">
      <c r="G862"/>
      <c r="H862"/>
      <c r="I862"/>
      <c r="J862"/>
      <c r="M862"/>
      <c r="O862"/>
      <c r="Q862"/>
      <c r="R862"/>
      <c r="S862"/>
      <c r="T862"/>
      <c r="U862"/>
      <c r="V862"/>
      <c r="Z862"/>
      <c r="AA862"/>
    </row>
    <row r="863" spans="2:27" x14ac:dyDescent="0.45">
      <c r="G863"/>
      <c r="H863"/>
      <c r="I863"/>
      <c r="J863"/>
      <c r="M863"/>
      <c r="O863"/>
      <c r="Q863"/>
      <c r="R863"/>
      <c r="S863"/>
      <c r="T863"/>
      <c r="U863"/>
      <c r="V863"/>
      <c r="Z863"/>
      <c r="AA863"/>
    </row>
    <row r="864" spans="2:27" x14ac:dyDescent="0.45">
      <c r="G864"/>
      <c r="H864"/>
      <c r="I864"/>
      <c r="J864"/>
      <c r="M864"/>
      <c r="O864"/>
      <c r="Q864"/>
      <c r="R864"/>
      <c r="S864"/>
      <c r="T864"/>
      <c r="U864"/>
      <c r="V864"/>
      <c r="Z864"/>
      <c r="AA864"/>
    </row>
    <row r="865" spans="7:27" x14ac:dyDescent="0.45">
      <c r="G865"/>
      <c r="H865"/>
      <c r="I865"/>
      <c r="J865"/>
      <c r="M865"/>
      <c r="O865"/>
      <c r="Q865"/>
      <c r="R865"/>
      <c r="S865"/>
      <c r="T865"/>
      <c r="U865"/>
      <c r="V865"/>
      <c r="Z865"/>
      <c r="AA865"/>
    </row>
    <row r="866" spans="7:27" x14ac:dyDescent="0.45">
      <c r="G866"/>
      <c r="H866"/>
      <c r="I866"/>
      <c r="J866"/>
      <c r="M866"/>
      <c r="O866"/>
      <c r="Q866"/>
      <c r="R866"/>
      <c r="S866"/>
      <c r="T866"/>
      <c r="U866"/>
      <c r="V866"/>
      <c r="Z866"/>
      <c r="AA866"/>
    </row>
    <row r="867" spans="7:27" x14ac:dyDescent="0.45">
      <c r="G867"/>
      <c r="H867"/>
      <c r="I867"/>
      <c r="J867"/>
      <c r="M867"/>
      <c r="O867"/>
      <c r="Q867"/>
      <c r="R867"/>
      <c r="S867"/>
      <c r="T867"/>
      <c r="U867"/>
      <c r="V867"/>
      <c r="Z867"/>
      <c r="AA867"/>
    </row>
    <row r="868" spans="7:27" x14ac:dyDescent="0.45">
      <c r="G868"/>
      <c r="H868"/>
      <c r="I868"/>
      <c r="J868"/>
      <c r="M868"/>
      <c r="O868"/>
      <c r="Q868"/>
      <c r="R868"/>
      <c r="S868"/>
      <c r="T868"/>
      <c r="U868"/>
      <c r="V868"/>
      <c r="Z868"/>
      <c r="AA868"/>
    </row>
    <row r="869" spans="7:27" x14ac:dyDescent="0.45">
      <c r="G869"/>
      <c r="H869"/>
      <c r="I869"/>
      <c r="J869"/>
      <c r="M869"/>
      <c r="O869"/>
      <c r="Q869"/>
      <c r="R869"/>
      <c r="S869"/>
      <c r="T869"/>
      <c r="U869"/>
      <c r="V869"/>
      <c r="Z869"/>
      <c r="AA869"/>
    </row>
    <row r="870" spans="7:27" x14ac:dyDescent="0.45">
      <c r="G870"/>
      <c r="H870"/>
      <c r="I870"/>
      <c r="J870"/>
      <c r="M870"/>
      <c r="O870"/>
      <c r="Q870"/>
      <c r="R870"/>
      <c r="S870"/>
      <c r="T870"/>
      <c r="U870"/>
      <c r="V870"/>
      <c r="Z870"/>
      <c r="AA870"/>
    </row>
    <row r="871" spans="7:27" x14ac:dyDescent="0.45">
      <c r="G871"/>
      <c r="H871"/>
      <c r="I871"/>
      <c r="J871"/>
      <c r="M871"/>
      <c r="O871"/>
      <c r="Q871"/>
      <c r="R871"/>
      <c r="S871"/>
      <c r="T871"/>
      <c r="U871"/>
      <c r="V871"/>
      <c r="Z871"/>
      <c r="AA871"/>
    </row>
    <row r="872" spans="7:27" x14ac:dyDescent="0.45">
      <c r="G872"/>
      <c r="H872"/>
      <c r="I872"/>
      <c r="J872"/>
      <c r="M872"/>
      <c r="O872"/>
      <c r="Q872"/>
      <c r="R872"/>
      <c r="S872"/>
      <c r="T872"/>
      <c r="U872"/>
      <c r="V872"/>
      <c r="Z872"/>
      <c r="AA872"/>
    </row>
    <row r="873" spans="7:27" x14ac:dyDescent="0.45">
      <c r="G873"/>
      <c r="H873"/>
      <c r="I873"/>
      <c r="J873"/>
      <c r="M873"/>
      <c r="O873"/>
      <c r="Q873"/>
      <c r="R873"/>
      <c r="S873"/>
      <c r="T873"/>
      <c r="U873"/>
      <c r="V873"/>
      <c r="Z873"/>
      <c r="AA873"/>
    </row>
    <row r="874" spans="7:27" x14ac:dyDescent="0.45">
      <c r="G874"/>
      <c r="H874"/>
      <c r="I874"/>
      <c r="J874"/>
      <c r="M874"/>
      <c r="O874"/>
      <c r="Q874"/>
      <c r="R874"/>
      <c r="S874"/>
      <c r="T874"/>
      <c r="U874"/>
      <c r="V874"/>
      <c r="Z874"/>
      <c r="AA874"/>
    </row>
    <row r="875" spans="7:27" x14ac:dyDescent="0.45">
      <c r="G875"/>
      <c r="H875"/>
      <c r="I875"/>
      <c r="J875"/>
      <c r="M875"/>
      <c r="O875"/>
      <c r="Q875"/>
      <c r="R875"/>
      <c r="S875"/>
      <c r="T875"/>
      <c r="U875"/>
      <c r="V875"/>
      <c r="Z875"/>
      <c r="AA875"/>
    </row>
    <row r="876" spans="7:27" x14ac:dyDescent="0.45">
      <c r="G876"/>
      <c r="H876"/>
      <c r="I876"/>
      <c r="J876"/>
      <c r="M876"/>
      <c r="O876"/>
      <c r="Q876"/>
      <c r="R876"/>
      <c r="S876"/>
      <c r="T876"/>
      <c r="U876"/>
      <c r="V876"/>
      <c r="Z876"/>
      <c r="AA876"/>
    </row>
    <row r="877" spans="7:27" x14ac:dyDescent="0.45">
      <c r="G877"/>
      <c r="H877"/>
      <c r="I877"/>
      <c r="J877"/>
      <c r="M877"/>
      <c r="O877"/>
      <c r="Q877"/>
      <c r="R877"/>
      <c r="S877"/>
      <c r="T877"/>
      <c r="U877"/>
      <c r="V877"/>
      <c r="Z877"/>
      <c r="AA877"/>
    </row>
    <row r="878" spans="7:27" x14ac:dyDescent="0.45">
      <c r="G878"/>
      <c r="H878"/>
      <c r="I878"/>
      <c r="J878"/>
      <c r="M878"/>
      <c r="O878"/>
      <c r="Q878"/>
      <c r="R878"/>
      <c r="S878"/>
      <c r="T878"/>
      <c r="U878"/>
      <c r="V878"/>
      <c r="Z878"/>
      <c r="AA878"/>
    </row>
    <row r="879" spans="7:27" x14ac:dyDescent="0.45">
      <c r="G879"/>
      <c r="H879"/>
      <c r="I879"/>
      <c r="J879"/>
      <c r="M879"/>
      <c r="O879"/>
      <c r="Q879"/>
      <c r="R879"/>
      <c r="S879"/>
      <c r="T879"/>
      <c r="U879"/>
      <c r="V879"/>
      <c r="Z879"/>
      <c r="AA879"/>
    </row>
    <row r="880" spans="7:27" x14ac:dyDescent="0.45">
      <c r="G880"/>
      <c r="H880"/>
      <c r="I880"/>
      <c r="J880"/>
      <c r="M880"/>
      <c r="O880"/>
      <c r="Q880"/>
      <c r="R880"/>
      <c r="S880"/>
      <c r="T880"/>
      <c r="U880"/>
      <c r="V880"/>
      <c r="Z880"/>
      <c r="AA880"/>
    </row>
    <row r="881" spans="7:27" x14ac:dyDescent="0.45">
      <c r="G881"/>
      <c r="H881"/>
      <c r="I881"/>
      <c r="J881"/>
      <c r="M881"/>
      <c r="O881"/>
      <c r="Q881"/>
      <c r="R881"/>
      <c r="S881"/>
      <c r="T881"/>
      <c r="U881"/>
      <c r="V881"/>
      <c r="Z881"/>
      <c r="AA881"/>
    </row>
    <row r="882" spans="7:27" x14ac:dyDescent="0.45">
      <c r="G882"/>
      <c r="H882"/>
      <c r="I882"/>
      <c r="J882"/>
      <c r="M882"/>
      <c r="O882"/>
      <c r="Q882"/>
      <c r="R882"/>
      <c r="S882"/>
      <c r="T882"/>
      <c r="U882"/>
      <c r="V882"/>
      <c r="Z882"/>
      <c r="AA882"/>
    </row>
    <row r="883" spans="7:27" x14ac:dyDescent="0.45">
      <c r="G883"/>
      <c r="H883"/>
      <c r="I883"/>
      <c r="J883"/>
      <c r="M883"/>
      <c r="O883"/>
      <c r="Q883"/>
      <c r="R883"/>
      <c r="S883"/>
      <c r="T883"/>
      <c r="U883"/>
      <c r="V883"/>
      <c r="Z883"/>
      <c r="AA883"/>
    </row>
    <row r="884" spans="7:27" x14ac:dyDescent="0.45">
      <c r="G884"/>
      <c r="H884"/>
      <c r="I884"/>
      <c r="J884"/>
      <c r="M884"/>
      <c r="O884"/>
      <c r="Q884"/>
      <c r="R884"/>
      <c r="S884"/>
      <c r="T884"/>
      <c r="U884"/>
      <c r="V884"/>
      <c r="Z884"/>
      <c r="AA884"/>
    </row>
    <row r="885" spans="7:27" x14ac:dyDescent="0.45">
      <c r="G885"/>
      <c r="H885"/>
      <c r="I885"/>
      <c r="J885"/>
      <c r="M885"/>
      <c r="O885"/>
      <c r="Q885"/>
      <c r="R885"/>
      <c r="S885"/>
      <c r="T885"/>
      <c r="U885"/>
      <c r="V885"/>
      <c r="Z885"/>
      <c r="AA885"/>
    </row>
    <row r="886" spans="7:27" x14ac:dyDescent="0.45">
      <c r="G886"/>
      <c r="H886"/>
      <c r="I886"/>
      <c r="J886"/>
      <c r="M886"/>
      <c r="O886"/>
      <c r="Q886"/>
      <c r="R886"/>
      <c r="S886"/>
      <c r="T886"/>
      <c r="U886"/>
      <c r="V886"/>
      <c r="Z886"/>
      <c r="AA886"/>
    </row>
    <row r="887" spans="7:27" x14ac:dyDescent="0.45">
      <c r="G887"/>
      <c r="H887"/>
      <c r="I887"/>
      <c r="J887"/>
      <c r="M887"/>
      <c r="O887"/>
      <c r="Q887"/>
      <c r="R887"/>
      <c r="S887"/>
      <c r="T887"/>
      <c r="U887"/>
      <c r="V887"/>
      <c r="Z887"/>
      <c r="AA887"/>
    </row>
    <row r="888" spans="7:27" x14ac:dyDescent="0.45">
      <c r="G888"/>
      <c r="H888"/>
      <c r="I888"/>
      <c r="J888"/>
      <c r="M888"/>
      <c r="O888"/>
      <c r="Q888"/>
      <c r="R888"/>
      <c r="S888"/>
      <c r="T888"/>
      <c r="U888"/>
      <c r="V888"/>
      <c r="Z888"/>
      <c r="AA888"/>
    </row>
    <row r="889" spans="7:27" x14ac:dyDescent="0.45">
      <c r="G889"/>
      <c r="H889"/>
      <c r="I889"/>
      <c r="J889"/>
      <c r="M889"/>
      <c r="O889"/>
      <c r="Q889"/>
      <c r="R889"/>
      <c r="S889"/>
      <c r="T889"/>
      <c r="U889"/>
      <c r="V889"/>
      <c r="Z889"/>
      <c r="AA889"/>
    </row>
    <row r="890" spans="7:27" x14ac:dyDescent="0.45">
      <c r="G890"/>
      <c r="H890"/>
      <c r="I890"/>
      <c r="J890"/>
      <c r="M890"/>
      <c r="O890"/>
      <c r="Q890"/>
      <c r="R890"/>
      <c r="S890"/>
      <c r="T890"/>
      <c r="U890"/>
      <c r="V890"/>
      <c r="Z890"/>
      <c r="AA890"/>
    </row>
    <row r="891" spans="7:27" x14ac:dyDescent="0.45">
      <c r="G891"/>
      <c r="H891"/>
      <c r="I891"/>
      <c r="J891"/>
      <c r="M891"/>
      <c r="O891"/>
      <c r="Q891"/>
      <c r="R891"/>
      <c r="S891"/>
      <c r="T891"/>
      <c r="U891"/>
      <c r="V891"/>
      <c r="Z891"/>
      <c r="AA891"/>
    </row>
    <row r="892" spans="7:27" x14ac:dyDescent="0.45">
      <c r="G892"/>
      <c r="H892"/>
      <c r="I892"/>
      <c r="J892"/>
      <c r="M892"/>
      <c r="O892"/>
      <c r="Q892"/>
      <c r="R892"/>
      <c r="S892"/>
      <c r="T892"/>
      <c r="U892"/>
      <c r="V892"/>
      <c r="Z892"/>
      <c r="AA892"/>
    </row>
    <row r="893" spans="7:27" x14ac:dyDescent="0.45">
      <c r="G893"/>
      <c r="H893"/>
      <c r="I893"/>
      <c r="J893"/>
      <c r="M893"/>
      <c r="O893"/>
      <c r="Q893"/>
      <c r="R893"/>
      <c r="S893"/>
      <c r="T893"/>
      <c r="U893"/>
      <c r="V893"/>
      <c r="Z893"/>
      <c r="AA893"/>
    </row>
    <row r="894" spans="7:27" x14ac:dyDescent="0.45">
      <c r="G894"/>
      <c r="H894"/>
      <c r="I894"/>
      <c r="J894"/>
      <c r="M894"/>
      <c r="O894"/>
      <c r="Q894"/>
      <c r="R894"/>
      <c r="S894"/>
      <c r="T894"/>
      <c r="U894"/>
      <c r="V894"/>
      <c r="Z894"/>
      <c r="AA894"/>
    </row>
    <row r="895" spans="7:27" x14ac:dyDescent="0.45">
      <c r="G895"/>
      <c r="H895"/>
      <c r="I895"/>
      <c r="J895"/>
      <c r="M895"/>
      <c r="O895"/>
      <c r="Q895"/>
      <c r="R895"/>
      <c r="S895"/>
      <c r="T895"/>
      <c r="U895"/>
      <c r="V895"/>
      <c r="Z895"/>
      <c r="AA895"/>
    </row>
    <row r="896" spans="7:27" x14ac:dyDescent="0.45">
      <c r="G896"/>
      <c r="H896"/>
      <c r="I896"/>
      <c r="J896"/>
      <c r="M896"/>
      <c r="O896"/>
      <c r="Q896"/>
      <c r="R896"/>
      <c r="S896"/>
      <c r="T896"/>
      <c r="U896"/>
      <c r="V896"/>
      <c r="Z896"/>
      <c r="AA896"/>
    </row>
    <row r="897" spans="7:27" x14ac:dyDescent="0.45">
      <c r="G897"/>
      <c r="H897"/>
      <c r="I897"/>
      <c r="J897"/>
      <c r="M897"/>
      <c r="O897"/>
      <c r="Q897"/>
      <c r="R897"/>
      <c r="S897"/>
      <c r="T897"/>
      <c r="U897"/>
      <c r="V897"/>
      <c r="Z897"/>
      <c r="AA897"/>
    </row>
    <row r="898" spans="7:27" x14ac:dyDescent="0.45">
      <c r="G898"/>
      <c r="H898"/>
      <c r="I898"/>
      <c r="J898"/>
      <c r="M898"/>
      <c r="O898"/>
      <c r="Q898"/>
      <c r="R898"/>
      <c r="S898"/>
      <c r="T898"/>
      <c r="U898"/>
      <c r="V898"/>
      <c r="Z898"/>
      <c r="AA898"/>
    </row>
    <row r="899" spans="7:27" x14ac:dyDescent="0.45">
      <c r="G899"/>
      <c r="H899"/>
      <c r="I899"/>
      <c r="J899"/>
      <c r="M899"/>
      <c r="O899"/>
      <c r="Q899"/>
      <c r="R899"/>
      <c r="S899"/>
      <c r="T899"/>
      <c r="U899"/>
      <c r="V899"/>
      <c r="Z899"/>
      <c r="AA899"/>
    </row>
    <row r="900" spans="7:27" x14ac:dyDescent="0.45">
      <c r="G900"/>
      <c r="H900"/>
      <c r="I900"/>
      <c r="J900"/>
      <c r="M900"/>
      <c r="O900"/>
      <c r="Q900"/>
      <c r="R900"/>
      <c r="S900"/>
      <c r="T900"/>
      <c r="U900"/>
      <c r="V900"/>
      <c r="Z900"/>
      <c r="AA900"/>
    </row>
    <row r="901" spans="7:27" x14ac:dyDescent="0.45">
      <c r="G901"/>
      <c r="H901"/>
      <c r="I901"/>
      <c r="J901"/>
      <c r="M901"/>
      <c r="O901"/>
      <c r="Q901"/>
      <c r="R901"/>
      <c r="S901"/>
      <c r="T901"/>
      <c r="U901"/>
      <c r="V901"/>
      <c r="Z901"/>
      <c r="AA901"/>
    </row>
    <row r="902" spans="7:27" x14ac:dyDescent="0.45">
      <c r="G902"/>
      <c r="H902"/>
      <c r="I902"/>
      <c r="J902"/>
      <c r="M902"/>
      <c r="O902"/>
      <c r="Q902"/>
      <c r="R902"/>
      <c r="S902"/>
      <c r="T902"/>
      <c r="U902"/>
      <c r="V902"/>
      <c r="Z902"/>
      <c r="AA902"/>
    </row>
    <row r="903" spans="7:27" x14ac:dyDescent="0.45">
      <c r="G903"/>
      <c r="H903"/>
      <c r="I903"/>
      <c r="J903"/>
      <c r="M903"/>
      <c r="O903"/>
      <c r="Q903"/>
      <c r="R903"/>
      <c r="S903"/>
      <c r="T903"/>
      <c r="U903"/>
      <c r="V903"/>
      <c r="Z903"/>
      <c r="AA903"/>
    </row>
    <row r="904" spans="7:27" x14ac:dyDescent="0.45">
      <c r="G904"/>
      <c r="H904"/>
      <c r="I904"/>
      <c r="J904"/>
      <c r="M904"/>
      <c r="O904"/>
      <c r="Q904"/>
      <c r="R904"/>
      <c r="S904"/>
      <c r="T904"/>
      <c r="U904"/>
      <c r="V904"/>
      <c r="Z904"/>
      <c r="AA904"/>
    </row>
    <row r="905" spans="7:27" x14ac:dyDescent="0.45">
      <c r="G905"/>
      <c r="H905"/>
      <c r="I905"/>
      <c r="J905"/>
      <c r="M905"/>
      <c r="O905"/>
      <c r="Q905"/>
      <c r="R905"/>
      <c r="S905"/>
      <c r="T905"/>
      <c r="U905"/>
      <c r="V905"/>
      <c r="Z905"/>
      <c r="AA905"/>
    </row>
    <row r="906" spans="7:27" x14ac:dyDescent="0.45">
      <c r="G906"/>
      <c r="H906"/>
      <c r="I906"/>
      <c r="J906"/>
      <c r="M906"/>
      <c r="O906"/>
      <c r="Q906"/>
      <c r="R906"/>
      <c r="S906"/>
      <c r="T906"/>
      <c r="U906"/>
      <c r="V906"/>
      <c r="Z906"/>
      <c r="AA906"/>
    </row>
    <row r="907" spans="7:27" x14ac:dyDescent="0.45">
      <c r="G907"/>
      <c r="H907"/>
      <c r="I907"/>
      <c r="J907"/>
      <c r="M907"/>
      <c r="O907"/>
      <c r="Q907"/>
      <c r="R907"/>
      <c r="S907"/>
      <c r="T907"/>
      <c r="U907"/>
      <c r="V907"/>
      <c r="Z907"/>
      <c r="AA907"/>
    </row>
    <row r="908" spans="7:27" x14ac:dyDescent="0.45">
      <c r="G908"/>
      <c r="H908"/>
      <c r="I908"/>
      <c r="J908"/>
      <c r="M908"/>
      <c r="O908"/>
      <c r="Q908"/>
      <c r="R908"/>
      <c r="S908"/>
      <c r="T908"/>
      <c r="U908"/>
      <c r="V908"/>
      <c r="Z908"/>
      <c r="AA908"/>
    </row>
    <row r="909" spans="7:27" x14ac:dyDescent="0.45">
      <c r="G909"/>
      <c r="H909"/>
      <c r="I909"/>
      <c r="J909"/>
      <c r="M909"/>
      <c r="O909"/>
      <c r="Q909"/>
      <c r="R909"/>
      <c r="S909"/>
      <c r="T909"/>
      <c r="U909"/>
      <c r="V909"/>
      <c r="Z909"/>
      <c r="AA909"/>
    </row>
    <row r="910" spans="7:27" x14ac:dyDescent="0.45">
      <c r="G910"/>
      <c r="H910"/>
      <c r="I910"/>
      <c r="J910"/>
      <c r="M910"/>
      <c r="O910"/>
      <c r="Q910"/>
      <c r="R910"/>
      <c r="S910"/>
      <c r="T910"/>
      <c r="U910"/>
      <c r="V910"/>
      <c r="Z910"/>
      <c r="AA910"/>
    </row>
    <row r="911" spans="7:27" x14ac:dyDescent="0.45">
      <c r="G911"/>
      <c r="H911"/>
      <c r="I911"/>
      <c r="J911"/>
      <c r="M911"/>
      <c r="O911"/>
      <c r="Q911"/>
      <c r="R911"/>
      <c r="S911"/>
      <c r="T911"/>
      <c r="U911"/>
      <c r="V911"/>
      <c r="Z911"/>
      <c r="AA911"/>
    </row>
    <row r="912" spans="7:27" x14ac:dyDescent="0.45">
      <c r="G912"/>
      <c r="H912"/>
      <c r="I912"/>
      <c r="J912"/>
      <c r="M912"/>
      <c r="O912"/>
      <c r="Q912"/>
      <c r="R912"/>
      <c r="S912"/>
      <c r="T912"/>
      <c r="U912"/>
      <c r="V912"/>
      <c r="Z912"/>
      <c r="AA912"/>
    </row>
    <row r="913" spans="7:27" x14ac:dyDescent="0.45">
      <c r="G913"/>
      <c r="H913"/>
      <c r="I913"/>
      <c r="J913"/>
      <c r="M913"/>
      <c r="O913"/>
      <c r="Q913"/>
      <c r="R913"/>
      <c r="S913"/>
      <c r="T913"/>
      <c r="U913"/>
      <c r="V913"/>
      <c r="Z913"/>
      <c r="AA913"/>
    </row>
    <row r="914" spans="7:27" x14ac:dyDescent="0.45">
      <c r="G914"/>
      <c r="H914"/>
      <c r="I914"/>
      <c r="J914"/>
      <c r="M914"/>
      <c r="O914"/>
      <c r="Q914"/>
      <c r="R914"/>
      <c r="S914"/>
      <c r="T914"/>
      <c r="U914"/>
      <c r="V914"/>
      <c r="Z914"/>
      <c r="AA914"/>
    </row>
    <row r="915" spans="7:27" x14ac:dyDescent="0.45">
      <c r="G915"/>
      <c r="H915"/>
      <c r="I915"/>
      <c r="J915"/>
      <c r="M915"/>
      <c r="O915"/>
      <c r="Q915"/>
      <c r="R915"/>
      <c r="S915"/>
      <c r="T915"/>
      <c r="U915"/>
      <c r="V915"/>
      <c r="Z915"/>
      <c r="AA915"/>
    </row>
    <row r="916" spans="7:27" x14ac:dyDescent="0.45">
      <c r="G916"/>
      <c r="H916"/>
      <c r="I916"/>
      <c r="J916"/>
      <c r="M916"/>
      <c r="O916"/>
      <c r="Q916"/>
      <c r="R916"/>
      <c r="S916"/>
      <c r="T916"/>
      <c r="U916"/>
      <c r="V916"/>
      <c r="Z916"/>
      <c r="AA916"/>
    </row>
    <row r="917" spans="7:27" x14ac:dyDescent="0.45">
      <c r="G917"/>
      <c r="H917"/>
      <c r="I917"/>
      <c r="J917"/>
      <c r="M917"/>
      <c r="O917"/>
      <c r="Q917"/>
      <c r="R917"/>
      <c r="S917"/>
      <c r="T917"/>
      <c r="U917"/>
      <c r="V917"/>
      <c r="Z917"/>
      <c r="AA917"/>
    </row>
    <row r="918" spans="7:27" x14ac:dyDescent="0.45">
      <c r="G918"/>
      <c r="H918"/>
      <c r="I918"/>
      <c r="J918"/>
      <c r="M918"/>
      <c r="O918"/>
      <c r="Q918"/>
      <c r="R918"/>
      <c r="S918"/>
      <c r="T918"/>
      <c r="U918"/>
      <c r="V918"/>
      <c r="Z918"/>
      <c r="AA918"/>
    </row>
    <row r="919" spans="7:27" x14ac:dyDescent="0.45">
      <c r="G919"/>
      <c r="H919"/>
      <c r="I919"/>
      <c r="J919"/>
      <c r="M919"/>
      <c r="O919"/>
      <c r="Q919"/>
      <c r="R919"/>
      <c r="S919"/>
      <c r="T919"/>
      <c r="U919"/>
      <c r="V919"/>
      <c r="Z919"/>
      <c r="AA919"/>
    </row>
    <row r="920" spans="7:27" x14ac:dyDescent="0.45">
      <c r="G920"/>
      <c r="H920"/>
      <c r="I920"/>
      <c r="J920"/>
      <c r="M920"/>
      <c r="O920"/>
      <c r="Q920"/>
      <c r="R920"/>
      <c r="S920"/>
      <c r="T920"/>
      <c r="U920"/>
      <c r="V920"/>
      <c r="Z920"/>
      <c r="AA920"/>
    </row>
    <row r="921" spans="7:27" x14ac:dyDescent="0.45">
      <c r="G921"/>
      <c r="H921"/>
      <c r="I921"/>
      <c r="J921"/>
      <c r="M921"/>
      <c r="O921"/>
      <c r="Q921"/>
      <c r="R921"/>
      <c r="S921"/>
      <c r="T921"/>
      <c r="U921"/>
      <c r="V921"/>
      <c r="Z921"/>
      <c r="AA921"/>
    </row>
    <row r="922" spans="7:27" x14ac:dyDescent="0.45">
      <c r="G922"/>
      <c r="H922"/>
      <c r="I922"/>
      <c r="J922"/>
      <c r="M922"/>
      <c r="O922"/>
      <c r="Q922"/>
      <c r="R922"/>
      <c r="S922"/>
      <c r="T922"/>
      <c r="U922"/>
      <c r="V922"/>
      <c r="Z922"/>
      <c r="AA922"/>
    </row>
    <row r="923" spans="7:27" x14ac:dyDescent="0.45">
      <c r="G923"/>
      <c r="H923"/>
      <c r="I923"/>
      <c r="J923"/>
      <c r="M923"/>
      <c r="O923"/>
      <c r="Q923"/>
      <c r="R923"/>
      <c r="S923"/>
      <c r="T923"/>
      <c r="U923"/>
      <c r="V923"/>
      <c r="Z923"/>
      <c r="AA923"/>
    </row>
    <row r="924" spans="7:27" x14ac:dyDescent="0.45">
      <c r="G924"/>
      <c r="H924"/>
      <c r="I924"/>
      <c r="J924"/>
      <c r="M924"/>
      <c r="O924"/>
      <c r="Q924"/>
      <c r="R924"/>
      <c r="S924"/>
      <c r="T924"/>
      <c r="U924"/>
      <c r="V924"/>
      <c r="Z924"/>
      <c r="AA924"/>
    </row>
    <row r="925" spans="7:27" x14ac:dyDescent="0.45">
      <c r="G925"/>
      <c r="H925"/>
      <c r="I925"/>
      <c r="J925"/>
      <c r="M925"/>
      <c r="O925"/>
      <c r="Q925"/>
      <c r="R925"/>
      <c r="S925"/>
      <c r="T925"/>
      <c r="U925"/>
      <c r="V925"/>
      <c r="Z925"/>
      <c r="AA925"/>
    </row>
    <row r="926" spans="7:27" x14ac:dyDescent="0.45">
      <c r="G926"/>
      <c r="H926"/>
      <c r="I926"/>
      <c r="J926"/>
      <c r="M926"/>
      <c r="O926"/>
      <c r="Q926"/>
      <c r="R926"/>
      <c r="S926"/>
      <c r="T926"/>
      <c r="U926"/>
      <c r="V926"/>
      <c r="Z926"/>
      <c r="AA926"/>
    </row>
    <row r="927" spans="7:27" x14ac:dyDescent="0.45">
      <c r="G927"/>
      <c r="H927"/>
      <c r="I927"/>
      <c r="J927"/>
      <c r="M927"/>
      <c r="O927"/>
      <c r="Q927"/>
      <c r="R927"/>
      <c r="S927"/>
      <c r="T927"/>
      <c r="U927"/>
      <c r="V927"/>
      <c r="Z927"/>
      <c r="AA927"/>
    </row>
    <row r="928" spans="7:27" x14ac:dyDescent="0.45">
      <c r="G928"/>
      <c r="H928"/>
      <c r="I928"/>
      <c r="J928"/>
      <c r="M928"/>
      <c r="O928"/>
      <c r="Q928"/>
      <c r="R928"/>
      <c r="S928"/>
      <c r="T928"/>
      <c r="U928"/>
      <c r="V928"/>
      <c r="Z928"/>
      <c r="AA928"/>
    </row>
    <row r="929" spans="7:27" x14ac:dyDescent="0.45">
      <c r="G929"/>
      <c r="H929"/>
      <c r="I929"/>
      <c r="J929"/>
      <c r="M929"/>
      <c r="O929"/>
      <c r="Q929"/>
      <c r="R929"/>
      <c r="S929"/>
      <c r="T929"/>
      <c r="U929"/>
      <c r="V929"/>
      <c r="Z929"/>
      <c r="AA929"/>
    </row>
    <row r="930" spans="7:27" x14ac:dyDescent="0.45">
      <c r="G930"/>
      <c r="H930"/>
      <c r="I930"/>
      <c r="J930"/>
      <c r="M930"/>
      <c r="O930"/>
      <c r="Q930"/>
      <c r="R930"/>
      <c r="S930"/>
      <c r="T930"/>
      <c r="U930"/>
      <c r="V930"/>
      <c r="Z930"/>
      <c r="AA930"/>
    </row>
    <row r="931" spans="7:27" x14ac:dyDescent="0.45">
      <c r="G931"/>
      <c r="H931"/>
      <c r="I931"/>
      <c r="J931"/>
      <c r="M931"/>
      <c r="O931"/>
      <c r="Q931"/>
      <c r="R931"/>
      <c r="S931"/>
      <c r="T931"/>
      <c r="U931"/>
      <c r="V931"/>
      <c r="Z931"/>
      <c r="AA931"/>
    </row>
    <row r="932" spans="7:27" x14ac:dyDescent="0.45">
      <c r="G932"/>
      <c r="H932"/>
      <c r="I932"/>
      <c r="J932"/>
      <c r="M932"/>
      <c r="O932"/>
      <c r="Q932"/>
      <c r="R932"/>
      <c r="S932"/>
      <c r="T932"/>
      <c r="U932"/>
      <c r="V932"/>
      <c r="Z932"/>
      <c r="AA932"/>
    </row>
    <row r="933" spans="7:27" x14ac:dyDescent="0.45">
      <c r="G933"/>
      <c r="H933"/>
      <c r="I933"/>
      <c r="J933"/>
      <c r="M933"/>
      <c r="O933"/>
      <c r="Q933"/>
      <c r="R933"/>
      <c r="S933"/>
      <c r="T933"/>
      <c r="U933"/>
      <c r="V933"/>
      <c r="Z933"/>
      <c r="AA933"/>
    </row>
    <row r="934" spans="7:27" x14ac:dyDescent="0.45">
      <c r="G934"/>
      <c r="H934"/>
      <c r="I934"/>
      <c r="J934"/>
      <c r="M934"/>
      <c r="O934"/>
      <c r="Q934"/>
      <c r="R934"/>
      <c r="S934"/>
      <c r="T934"/>
      <c r="U934"/>
      <c r="V934"/>
      <c r="Z934"/>
      <c r="AA934"/>
    </row>
    <row r="935" spans="7:27" x14ac:dyDescent="0.45">
      <c r="G935"/>
      <c r="H935"/>
      <c r="I935"/>
      <c r="J935"/>
      <c r="M935"/>
      <c r="O935"/>
      <c r="Q935"/>
      <c r="R935"/>
      <c r="S935"/>
      <c r="T935"/>
      <c r="U935"/>
      <c r="V935"/>
      <c r="Z935"/>
      <c r="AA935"/>
    </row>
    <row r="936" spans="7:27" x14ac:dyDescent="0.45">
      <c r="G936"/>
      <c r="H936"/>
      <c r="I936"/>
      <c r="J936"/>
      <c r="M936"/>
      <c r="O936"/>
      <c r="Q936"/>
      <c r="R936"/>
      <c r="S936"/>
      <c r="T936"/>
      <c r="U936"/>
      <c r="V936"/>
      <c r="Z936"/>
      <c r="AA936"/>
    </row>
    <row r="937" spans="7:27" x14ac:dyDescent="0.45">
      <c r="G937"/>
      <c r="H937"/>
      <c r="I937"/>
      <c r="J937"/>
      <c r="M937"/>
      <c r="O937"/>
      <c r="Q937"/>
      <c r="R937"/>
      <c r="S937"/>
      <c r="T937"/>
      <c r="U937"/>
      <c r="V937"/>
      <c r="Z937"/>
      <c r="AA937"/>
    </row>
    <row r="938" spans="7:27" x14ac:dyDescent="0.45">
      <c r="G938"/>
      <c r="H938"/>
      <c r="I938"/>
      <c r="J938"/>
      <c r="M938"/>
      <c r="O938"/>
      <c r="Q938"/>
      <c r="R938"/>
      <c r="S938"/>
      <c r="T938"/>
      <c r="U938"/>
      <c r="V938"/>
      <c r="Z938"/>
      <c r="AA938"/>
    </row>
    <row r="939" spans="7:27" x14ac:dyDescent="0.45">
      <c r="G939"/>
      <c r="H939"/>
      <c r="I939"/>
      <c r="J939"/>
      <c r="M939"/>
      <c r="O939"/>
      <c r="Q939"/>
      <c r="R939"/>
      <c r="S939"/>
      <c r="T939"/>
      <c r="U939"/>
      <c r="V939"/>
      <c r="Z939"/>
      <c r="AA939"/>
    </row>
    <row r="940" spans="7:27" x14ac:dyDescent="0.45">
      <c r="G940"/>
      <c r="H940"/>
      <c r="I940"/>
      <c r="J940"/>
      <c r="M940"/>
      <c r="O940"/>
      <c r="Q940"/>
      <c r="R940"/>
      <c r="S940"/>
      <c r="T940"/>
      <c r="U940"/>
      <c r="V940"/>
      <c r="Z940"/>
      <c r="AA940"/>
    </row>
    <row r="941" spans="7:27" x14ac:dyDescent="0.45">
      <c r="G941"/>
      <c r="H941"/>
      <c r="I941"/>
      <c r="J941"/>
      <c r="M941"/>
      <c r="O941"/>
      <c r="Q941"/>
      <c r="R941"/>
      <c r="S941"/>
      <c r="T941"/>
      <c r="U941"/>
      <c r="V941"/>
      <c r="Z941"/>
      <c r="AA941"/>
    </row>
    <row r="942" spans="7:27" x14ac:dyDescent="0.45">
      <c r="G942"/>
      <c r="H942"/>
      <c r="I942"/>
      <c r="J942"/>
      <c r="M942"/>
      <c r="O942"/>
      <c r="Q942"/>
      <c r="R942"/>
      <c r="S942"/>
      <c r="T942"/>
      <c r="U942"/>
      <c r="V942"/>
      <c r="Z942"/>
      <c r="AA942"/>
    </row>
    <row r="943" spans="7:27" x14ac:dyDescent="0.45">
      <c r="G943"/>
      <c r="H943"/>
      <c r="I943"/>
      <c r="J943"/>
      <c r="M943"/>
      <c r="O943"/>
      <c r="Q943"/>
      <c r="R943"/>
      <c r="S943"/>
      <c r="T943"/>
      <c r="U943"/>
      <c r="V943"/>
      <c r="Z943"/>
      <c r="AA943"/>
    </row>
    <row r="944" spans="7:27" x14ac:dyDescent="0.45">
      <c r="G944"/>
      <c r="H944"/>
      <c r="I944"/>
      <c r="J944"/>
      <c r="M944"/>
      <c r="O944"/>
      <c r="Q944"/>
      <c r="R944"/>
      <c r="S944"/>
      <c r="T944"/>
      <c r="U944"/>
      <c r="V944"/>
      <c r="Z944"/>
      <c r="AA944"/>
    </row>
    <row r="945" spans="7:27" x14ac:dyDescent="0.45">
      <c r="G945"/>
      <c r="H945"/>
      <c r="I945"/>
      <c r="J945"/>
      <c r="M945"/>
      <c r="O945"/>
      <c r="Q945"/>
      <c r="R945"/>
      <c r="S945"/>
      <c r="T945"/>
      <c r="U945"/>
      <c r="V945"/>
      <c r="Z945"/>
      <c r="AA945"/>
    </row>
    <row r="946" spans="7:27" x14ac:dyDescent="0.45">
      <c r="G946"/>
      <c r="H946"/>
      <c r="I946"/>
      <c r="J946"/>
      <c r="M946"/>
      <c r="O946"/>
      <c r="Q946"/>
      <c r="R946"/>
      <c r="S946"/>
      <c r="T946"/>
      <c r="U946"/>
      <c r="V946"/>
      <c r="Z946"/>
      <c r="AA946"/>
    </row>
    <row r="947" spans="7:27" x14ac:dyDescent="0.45">
      <c r="G947"/>
      <c r="H947"/>
      <c r="I947"/>
      <c r="J947"/>
      <c r="M947"/>
      <c r="O947"/>
      <c r="Q947"/>
      <c r="R947"/>
      <c r="S947"/>
      <c r="T947"/>
      <c r="U947"/>
      <c r="V947"/>
      <c r="Z947"/>
      <c r="AA947"/>
    </row>
    <row r="948" spans="7:27" x14ac:dyDescent="0.45">
      <c r="G948"/>
      <c r="H948"/>
      <c r="I948"/>
      <c r="J948"/>
      <c r="M948"/>
      <c r="O948"/>
      <c r="Q948"/>
      <c r="R948"/>
      <c r="S948"/>
      <c r="T948"/>
      <c r="U948"/>
      <c r="V948"/>
      <c r="Z948"/>
      <c r="AA948"/>
    </row>
    <row r="949" spans="7:27" x14ac:dyDescent="0.45">
      <c r="G949"/>
      <c r="H949"/>
      <c r="I949"/>
      <c r="J949"/>
      <c r="M949"/>
      <c r="O949"/>
      <c r="Q949"/>
      <c r="R949"/>
      <c r="S949"/>
      <c r="T949"/>
      <c r="U949"/>
      <c r="V949"/>
      <c r="Z949"/>
      <c r="AA949"/>
    </row>
    <row r="950" spans="7:27" x14ac:dyDescent="0.45">
      <c r="G950"/>
      <c r="H950"/>
      <c r="I950"/>
      <c r="J950"/>
      <c r="M950"/>
      <c r="O950"/>
      <c r="Q950"/>
      <c r="R950"/>
      <c r="S950"/>
      <c r="T950"/>
      <c r="U950"/>
      <c r="V950"/>
      <c r="Z950"/>
      <c r="AA950"/>
    </row>
    <row r="951" spans="7:27" x14ac:dyDescent="0.45">
      <c r="G951"/>
      <c r="H951"/>
      <c r="I951"/>
      <c r="J951"/>
      <c r="M951"/>
      <c r="O951"/>
      <c r="Q951"/>
      <c r="R951"/>
      <c r="S951"/>
      <c r="T951"/>
      <c r="U951"/>
      <c r="V951"/>
      <c r="Z951"/>
      <c r="AA951"/>
    </row>
    <row r="952" spans="7:27" x14ac:dyDescent="0.45">
      <c r="G952"/>
      <c r="H952"/>
      <c r="I952"/>
      <c r="J952"/>
      <c r="M952"/>
      <c r="O952"/>
      <c r="Q952"/>
      <c r="R952"/>
      <c r="S952"/>
      <c r="T952"/>
      <c r="U952"/>
      <c r="V952"/>
      <c r="Z952"/>
      <c r="AA952"/>
    </row>
    <row r="953" spans="7:27" x14ac:dyDescent="0.45">
      <c r="G953"/>
      <c r="H953"/>
      <c r="I953"/>
      <c r="J953"/>
      <c r="M953"/>
      <c r="O953"/>
      <c r="Q953"/>
      <c r="R953"/>
      <c r="S953"/>
      <c r="T953"/>
      <c r="U953"/>
      <c r="V953"/>
      <c r="Z953"/>
      <c r="AA953"/>
    </row>
    <row r="954" spans="7:27" x14ac:dyDescent="0.45">
      <c r="G954"/>
      <c r="H954"/>
      <c r="I954"/>
      <c r="J954"/>
      <c r="M954"/>
      <c r="O954"/>
      <c r="Q954"/>
      <c r="R954"/>
      <c r="S954"/>
      <c r="T954"/>
      <c r="U954"/>
      <c r="V954"/>
      <c r="Z954"/>
      <c r="AA954"/>
    </row>
    <row r="955" spans="7:27" x14ac:dyDescent="0.45">
      <c r="G955"/>
      <c r="H955"/>
      <c r="I955"/>
      <c r="J955"/>
      <c r="M955"/>
      <c r="O955"/>
      <c r="Q955"/>
      <c r="R955"/>
      <c r="S955"/>
      <c r="T955"/>
      <c r="U955"/>
      <c r="V955"/>
      <c r="Z955"/>
      <c r="AA955"/>
    </row>
    <row r="956" spans="7:27" x14ac:dyDescent="0.45">
      <c r="G956"/>
      <c r="H956"/>
      <c r="I956"/>
      <c r="J956"/>
      <c r="M956"/>
      <c r="O956"/>
      <c r="Q956"/>
      <c r="R956"/>
      <c r="S956"/>
      <c r="T956"/>
      <c r="U956"/>
      <c r="V956"/>
      <c r="Z956"/>
      <c r="AA956"/>
    </row>
    <row r="957" spans="7:27" x14ac:dyDescent="0.45">
      <c r="G957"/>
      <c r="H957"/>
      <c r="I957"/>
      <c r="J957"/>
      <c r="M957"/>
      <c r="O957"/>
      <c r="Q957"/>
      <c r="R957"/>
      <c r="S957"/>
      <c r="T957"/>
      <c r="U957"/>
      <c r="V957"/>
      <c r="Z957"/>
      <c r="AA957"/>
    </row>
    <row r="958" spans="7:27" x14ac:dyDescent="0.45">
      <c r="G958"/>
      <c r="H958"/>
      <c r="I958"/>
      <c r="J958"/>
      <c r="M958"/>
      <c r="O958"/>
      <c r="Q958"/>
      <c r="R958"/>
      <c r="S958"/>
      <c r="T958"/>
      <c r="U958"/>
      <c r="V958"/>
      <c r="Z958"/>
      <c r="AA958"/>
    </row>
    <row r="959" spans="7:27" x14ac:dyDescent="0.45">
      <c r="G959"/>
      <c r="H959"/>
      <c r="I959"/>
      <c r="J959"/>
      <c r="M959"/>
      <c r="O959"/>
      <c r="Q959"/>
      <c r="R959"/>
      <c r="S959"/>
      <c r="T959"/>
      <c r="U959"/>
      <c r="V959"/>
      <c r="Z959"/>
      <c r="AA959"/>
    </row>
    <row r="960" spans="7:27" x14ac:dyDescent="0.45">
      <c r="G960"/>
      <c r="H960"/>
      <c r="I960"/>
      <c r="J960"/>
      <c r="M960"/>
      <c r="O960"/>
      <c r="Q960"/>
      <c r="R960"/>
      <c r="S960"/>
      <c r="T960"/>
      <c r="U960"/>
      <c r="V960"/>
      <c r="Z960"/>
      <c r="AA960"/>
    </row>
    <row r="961" spans="7:27" x14ac:dyDescent="0.45">
      <c r="G961"/>
      <c r="H961"/>
      <c r="I961"/>
      <c r="J961"/>
      <c r="M961"/>
      <c r="O961"/>
      <c r="Q961"/>
      <c r="R961"/>
      <c r="S961"/>
      <c r="T961"/>
      <c r="U961"/>
      <c r="V961"/>
      <c r="Z961"/>
      <c r="AA961"/>
    </row>
    <row r="962" spans="7:27" x14ac:dyDescent="0.45">
      <c r="G962"/>
      <c r="H962"/>
      <c r="I962"/>
      <c r="J962"/>
      <c r="M962"/>
      <c r="O962"/>
      <c r="Q962"/>
      <c r="R962"/>
      <c r="S962"/>
      <c r="T962"/>
      <c r="U962"/>
      <c r="V962"/>
      <c r="Z962"/>
      <c r="AA962"/>
    </row>
    <row r="963" spans="7:27" x14ac:dyDescent="0.45">
      <c r="G963"/>
      <c r="H963"/>
      <c r="I963"/>
      <c r="J963"/>
      <c r="M963"/>
      <c r="O963"/>
      <c r="Q963"/>
      <c r="R963"/>
      <c r="S963"/>
      <c r="T963"/>
      <c r="U963"/>
      <c r="V963"/>
      <c r="Z963"/>
      <c r="AA963"/>
    </row>
    <row r="964" spans="7:27" x14ac:dyDescent="0.45">
      <c r="G964"/>
      <c r="H964"/>
      <c r="I964"/>
      <c r="J964"/>
      <c r="M964"/>
      <c r="O964"/>
      <c r="Q964"/>
      <c r="R964"/>
      <c r="S964"/>
      <c r="T964"/>
      <c r="U964"/>
      <c r="V964"/>
      <c r="Z964"/>
      <c r="AA964"/>
    </row>
    <row r="965" spans="7:27" x14ac:dyDescent="0.45">
      <c r="G965"/>
      <c r="H965"/>
      <c r="I965"/>
      <c r="J965"/>
      <c r="M965"/>
      <c r="O965"/>
      <c r="Q965"/>
      <c r="R965"/>
      <c r="S965"/>
      <c r="T965"/>
      <c r="U965"/>
      <c r="V965"/>
      <c r="Z965"/>
      <c r="AA965"/>
    </row>
    <row r="966" spans="7:27" x14ac:dyDescent="0.45">
      <c r="G966"/>
      <c r="H966"/>
      <c r="I966"/>
      <c r="J966"/>
      <c r="M966"/>
      <c r="O966"/>
      <c r="Q966"/>
      <c r="R966"/>
      <c r="S966"/>
      <c r="T966"/>
      <c r="U966"/>
      <c r="V966"/>
      <c r="Z966"/>
      <c r="AA966"/>
    </row>
    <row r="967" spans="7:27" x14ac:dyDescent="0.45">
      <c r="G967"/>
      <c r="H967"/>
      <c r="I967"/>
      <c r="J967"/>
      <c r="M967"/>
      <c r="O967"/>
      <c r="Q967"/>
      <c r="R967"/>
      <c r="S967"/>
      <c r="T967"/>
      <c r="U967"/>
      <c r="V967"/>
      <c r="Z967"/>
      <c r="AA967"/>
    </row>
    <row r="968" spans="7:27" x14ac:dyDescent="0.45">
      <c r="G968"/>
      <c r="H968"/>
      <c r="I968"/>
      <c r="J968"/>
      <c r="M968"/>
      <c r="O968"/>
      <c r="Q968"/>
      <c r="R968"/>
      <c r="S968"/>
      <c r="T968"/>
      <c r="U968"/>
      <c r="V968"/>
      <c r="Z968"/>
      <c r="AA968"/>
    </row>
    <row r="969" spans="7:27" x14ac:dyDescent="0.45">
      <c r="G969"/>
      <c r="H969"/>
      <c r="I969"/>
      <c r="J969"/>
      <c r="M969"/>
      <c r="O969"/>
      <c r="Q969"/>
      <c r="R969"/>
      <c r="S969"/>
      <c r="T969"/>
      <c r="U969"/>
      <c r="V969"/>
      <c r="Z969"/>
      <c r="AA969"/>
    </row>
    <row r="970" spans="7:27" x14ac:dyDescent="0.45">
      <c r="G970"/>
      <c r="H970"/>
      <c r="I970"/>
      <c r="J970"/>
      <c r="M970"/>
      <c r="O970"/>
      <c r="Q970"/>
      <c r="R970"/>
      <c r="S970"/>
      <c r="T970"/>
      <c r="U970"/>
      <c r="V970"/>
      <c r="Z970"/>
      <c r="AA970"/>
    </row>
    <row r="971" spans="7:27" x14ac:dyDescent="0.45">
      <c r="G971"/>
      <c r="H971"/>
      <c r="I971"/>
      <c r="J971"/>
      <c r="M971"/>
      <c r="O971"/>
      <c r="Q971"/>
      <c r="R971"/>
      <c r="S971"/>
      <c r="T971"/>
      <c r="U971"/>
      <c r="V971"/>
      <c r="Z971"/>
      <c r="AA971"/>
    </row>
    <row r="972" spans="7:27" x14ac:dyDescent="0.45">
      <c r="G972"/>
      <c r="H972"/>
      <c r="I972"/>
      <c r="J972"/>
      <c r="M972"/>
      <c r="O972"/>
      <c r="Q972"/>
      <c r="R972"/>
      <c r="S972"/>
      <c r="T972"/>
      <c r="U972"/>
      <c r="V972"/>
      <c r="Z972"/>
      <c r="AA972"/>
    </row>
    <row r="973" spans="7:27" x14ac:dyDescent="0.45">
      <c r="G973"/>
      <c r="H973"/>
      <c r="I973"/>
      <c r="J973"/>
      <c r="M973"/>
      <c r="O973"/>
      <c r="Q973"/>
      <c r="R973"/>
      <c r="S973"/>
      <c r="T973"/>
      <c r="U973"/>
      <c r="V973"/>
      <c r="Z973"/>
      <c r="AA973"/>
    </row>
    <row r="974" spans="7:27" x14ac:dyDescent="0.45">
      <c r="G974"/>
      <c r="H974"/>
      <c r="I974"/>
      <c r="J974"/>
      <c r="M974"/>
      <c r="O974"/>
      <c r="Q974"/>
      <c r="R974"/>
      <c r="S974"/>
      <c r="T974"/>
      <c r="U974"/>
      <c r="V974"/>
      <c r="Z974"/>
      <c r="AA974"/>
    </row>
    <row r="975" spans="7:27" x14ac:dyDescent="0.45">
      <c r="G975"/>
      <c r="H975"/>
      <c r="I975"/>
      <c r="J975"/>
      <c r="M975"/>
      <c r="O975"/>
      <c r="Q975"/>
      <c r="R975"/>
      <c r="S975"/>
      <c r="T975"/>
      <c r="U975"/>
      <c r="V975"/>
      <c r="Z975"/>
      <c r="AA975"/>
    </row>
    <row r="976" spans="7:27" x14ac:dyDescent="0.45">
      <c r="G976"/>
      <c r="H976"/>
      <c r="I976"/>
      <c r="J976"/>
      <c r="M976"/>
      <c r="O976"/>
      <c r="Q976"/>
      <c r="R976"/>
      <c r="S976"/>
      <c r="T976"/>
      <c r="U976"/>
      <c r="V976"/>
      <c r="Z976"/>
      <c r="AA976"/>
    </row>
    <row r="977" spans="7:27" x14ac:dyDescent="0.45">
      <c r="G977"/>
      <c r="H977"/>
      <c r="I977"/>
      <c r="J977"/>
      <c r="M977"/>
      <c r="O977"/>
      <c r="Q977"/>
      <c r="R977"/>
      <c r="S977"/>
      <c r="T977"/>
      <c r="U977"/>
      <c r="V977"/>
      <c r="Z977"/>
      <c r="AA977"/>
    </row>
    <row r="978" spans="7:27" x14ac:dyDescent="0.45">
      <c r="G978"/>
      <c r="H978"/>
      <c r="I978"/>
      <c r="J978"/>
      <c r="M978"/>
      <c r="O978"/>
      <c r="Q978"/>
      <c r="R978"/>
      <c r="S978"/>
      <c r="T978"/>
      <c r="U978"/>
      <c r="V978"/>
      <c r="Z978"/>
      <c r="AA978"/>
    </row>
    <row r="979" spans="7:27" x14ac:dyDescent="0.45">
      <c r="G979"/>
      <c r="H979"/>
      <c r="I979"/>
      <c r="J979"/>
      <c r="M979"/>
      <c r="O979"/>
      <c r="Q979"/>
      <c r="R979"/>
      <c r="S979"/>
      <c r="T979"/>
      <c r="U979"/>
      <c r="V979"/>
      <c r="Z979"/>
      <c r="AA979"/>
    </row>
    <row r="980" spans="7:27" x14ac:dyDescent="0.45">
      <c r="G980"/>
      <c r="H980"/>
      <c r="I980"/>
      <c r="J980"/>
      <c r="M980"/>
      <c r="O980"/>
      <c r="Q980"/>
      <c r="R980"/>
      <c r="S980"/>
      <c r="T980"/>
      <c r="U980"/>
      <c r="V980"/>
      <c r="Z980"/>
      <c r="AA980"/>
    </row>
    <row r="981" spans="7:27" x14ac:dyDescent="0.45">
      <c r="G981"/>
      <c r="H981"/>
      <c r="I981"/>
      <c r="J981"/>
      <c r="M981"/>
      <c r="O981"/>
      <c r="Q981"/>
      <c r="R981"/>
      <c r="S981"/>
      <c r="T981"/>
      <c r="U981"/>
      <c r="V981"/>
      <c r="Z981"/>
      <c r="AA981"/>
    </row>
    <row r="982" spans="7:27" x14ac:dyDescent="0.45">
      <c r="G982"/>
      <c r="H982"/>
      <c r="I982"/>
      <c r="J982"/>
      <c r="M982"/>
      <c r="O982"/>
      <c r="Q982"/>
      <c r="R982"/>
      <c r="S982"/>
      <c r="T982"/>
      <c r="U982"/>
      <c r="V982"/>
      <c r="Z982"/>
      <c r="AA982"/>
    </row>
    <row r="983" spans="7:27" x14ac:dyDescent="0.45">
      <c r="G983"/>
      <c r="H983"/>
      <c r="I983"/>
      <c r="J983"/>
      <c r="M983"/>
      <c r="O983"/>
      <c r="Q983"/>
      <c r="R983"/>
      <c r="S983"/>
      <c r="T983"/>
      <c r="U983"/>
      <c r="V983"/>
      <c r="Z983"/>
      <c r="AA983"/>
    </row>
    <row r="984" spans="7:27" x14ac:dyDescent="0.45">
      <c r="G984"/>
      <c r="H984"/>
      <c r="I984"/>
      <c r="J984"/>
      <c r="M984"/>
      <c r="O984"/>
      <c r="Q984"/>
      <c r="R984"/>
      <c r="S984"/>
      <c r="T984"/>
      <c r="U984"/>
      <c r="V984"/>
      <c r="Z984"/>
      <c r="AA984"/>
    </row>
    <row r="985" spans="7:27" x14ac:dyDescent="0.45">
      <c r="G985"/>
      <c r="H985"/>
      <c r="I985"/>
      <c r="J985"/>
      <c r="M985"/>
      <c r="O985"/>
      <c r="Q985"/>
      <c r="R985"/>
      <c r="S985"/>
      <c r="T985"/>
      <c r="U985"/>
      <c r="V985"/>
      <c r="Z985"/>
      <c r="AA985"/>
    </row>
    <row r="986" spans="7:27" x14ac:dyDescent="0.45">
      <c r="G986"/>
      <c r="H986"/>
      <c r="I986"/>
      <c r="J986"/>
      <c r="M986"/>
      <c r="O986"/>
      <c r="Q986"/>
      <c r="R986"/>
      <c r="S986"/>
      <c r="T986"/>
      <c r="U986"/>
      <c r="V986"/>
      <c r="Z986"/>
      <c r="AA986"/>
    </row>
    <row r="987" spans="7:27" x14ac:dyDescent="0.45">
      <c r="G987"/>
      <c r="H987"/>
      <c r="I987"/>
      <c r="J987"/>
      <c r="M987"/>
      <c r="O987"/>
      <c r="Q987"/>
      <c r="R987"/>
      <c r="S987"/>
      <c r="T987"/>
      <c r="U987"/>
      <c r="V987"/>
      <c r="Z987"/>
      <c r="AA987"/>
    </row>
    <row r="988" spans="7:27" x14ac:dyDescent="0.45">
      <c r="G988"/>
      <c r="H988"/>
      <c r="I988"/>
      <c r="J988"/>
      <c r="M988"/>
      <c r="O988"/>
      <c r="Q988"/>
      <c r="R988"/>
      <c r="S988"/>
      <c r="T988"/>
      <c r="U988"/>
      <c r="V988"/>
      <c r="Z988"/>
      <c r="AA988"/>
    </row>
    <row r="989" spans="7:27" x14ac:dyDescent="0.45">
      <c r="G989"/>
      <c r="H989"/>
      <c r="I989"/>
      <c r="J989"/>
      <c r="M989"/>
      <c r="O989"/>
      <c r="Q989"/>
      <c r="R989"/>
      <c r="S989"/>
      <c r="T989"/>
      <c r="U989"/>
      <c r="V989"/>
      <c r="Z989"/>
      <c r="AA989"/>
    </row>
    <row r="990" spans="7:27" x14ac:dyDescent="0.45">
      <c r="G990"/>
      <c r="H990"/>
      <c r="I990"/>
      <c r="J990"/>
      <c r="M990"/>
      <c r="O990"/>
      <c r="Q990"/>
      <c r="R990"/>
      <c r="S990"/>
      <c r="T990"/>
      <c r="U990"/>
      <c r="V990"/>
      <c r="Z990"/>
      <c r="AA990"/>
    </row>
    <row r="991" spans="7:27" x14ac:dyDescent="0.45">
      <c r="G991"/>
      <c r="H991"/>
      <c r="I991"/>
      <c r="J991"/>
      <c r="M991"/>
      <c r="O991"/>
      <c r="Q991"/>
      <c r="R991"/>
      <c r="S991"/>
      <c r="T991"/>
      <c r="U991"/>
      <c r="V991"/>
      <c r="Z991"/>
      <c r="AA991"/>
    </row>
    <row r="992" spans="7:27" x14ac:dyDescent="0.45">
      <c r="G992"/>
      <c r="H992"/>
      <c r="I992"/>
      <c r="J992"/>
      <c r="M992"/>
      <c r="O992"/>
      <c r="Q992"/>
      <c r="R992"/>
      <c r="S992"/>
      <c r="T992"/>
      <c r="U992"/>
      <c r="V992"/>
      <c r="Z992"/>
      <c r="AA992"/>
    </row>
    <row r="993" spans="7:27" x14ac:dyDescent="0.45">
      <c r="G993"/>
      <c r="H993"/>
      <c r="I993"/>
      <c r="J993"/>
      <c r="M993"/>
      <c r="O993"/>
      <c r="Q993"/>
      <c r="R993"/>
      <c r="S993"/>
      <c r="T993"/>
      <c r="U993"/>
      <c r="V993"/>
      <c r="Z993"/>
      <c r="AA993"/>
    </row>
    <row r="994" spans="7:27" x14ac:dyDescent="0.45">
      <c r="G994"/>
      <c r="H994"/>
      <c r="I994"/>
      <c r="J994"/>
      <c r="M994"/>
      <c r="O994"/>
      <c r="Q994"/>
      <c r="R994"/>
      <c r="S994"/>
      <c r="T994"/>
      <c r="U994"/>
      <c r="V994"/>
      <c r="Z994"/>
      <c r="AA994"/>
    </row>
    <row r="995" spans="7:27" x14ac:dyDescent="0.45">
      <c r="G995"/>
      <c r="H995"/>
      <c r="I995"/>
      <c r="J995"/>
      <c r="M995"/>
      <c r="O995"/>
      <c r="Q995"/>
      <c r="R995"/>
      <c r="S995"/>
      <c r="T995"/>
      <c r="U995"/>
      <c r="V995"/>
      <c r="Z995"/>
      <c r="AA995"/>
    </row>
    <row r="996" spans="7:27" x14ac:dyDescent="0.45">
      <c r="G996"/>
      <c r="H996"/>
      <c r="I996"/>
      <c r="J996"/>
      <c r="M996"/>
      <c r="O996"/>
      <c r="Q996"/>
      <c r="R996"/>
      <c r="S996"/>
      <c r="T996"/>
      <c r="U996"/>
      <c r="V996"/>
      <c r="Z996"/>
      <c r="AA996"/>
    </row>
    <row r="997" spans="7:27" x14ac:dyDescent="0.45">
      <c r="G997"/>
      <c r="H997"/>
      <c r="I997"/>
      <c r="J997"/>
      <c r="M997"/>
      <c r="O997"/>
      <c r="Q997"/>
      <c r="R997"/>
      <c r="S997"/>
      <c r="T997"/>
      <c r="U997"/>
      <c r="V997"/>
      <c r="Z997"/>
      <c r="AA997"/>
    </row>
    <row r="998" spans="7:27" x14ac:dyDescent="0.45">
      <c r="G998"/>
      <c r="H998"/>
      <c r="I998"/>
      <c r="J998"/>
      <c r="M998"/>
      <c r="O998"/>
      <c r="Q998"/>
      <c r="R998"/>
      <c r="S998"/>
      <c r="T998"/>
      <c r="U998"/>
      <c r="V998"/>
      <c r="Z998"/>
      <c r="AA998"/>
    </row>
    <row r="999" spans="7:27" x14ac:dyDescent="0.45">
      <c r="G999"/>
      <c r="H999"/>
      <c r="I999"/>
      <c r="J999"/>
      <c r="M999"/>
      <c r="O999"/>
      <c r="Q999"/>
      <c r="R999"/>
      <c r="S999"/>
      <c r="T999"/>
      <c r="U999"/>
      <c r="V999"/>
      <c r="Z999"/>
      <c r="AA999"/>
    </row>
    <row r="1000" spans="7:27" x14ac:dyDescent="0.45">
      <c r="G1000"/>
      <c r="H1000"/>
      <c r="I1000"/>
      <c r="J1000"/>
      <c r="M1000"/>
      <c r="O1000"/>
      <c r="Q1000"/>
      <c r="R1000"/>
      <c r="S1000"/>
      <c r="T1000"/>
      <c r="U1000"/>
      <c r="V1000"/>
      <c r="Z1000"/>
      <c r="AA1000"/>
    </row>
    <row r="1001" spans="7:27" x14ac:dyDescent="0.45">
      <c r="G1001"/>
      <c r="H1001"/>
      <c r="I1001"/>
      <c r="J1001"/>
      <c r="M1001"/>
      <c r="O1001"/>
      <c r="Q1001"/>
      <c r="R1001"/>
      <c r="S1001"/>
      <c r="T1001"/>
      <c r="U1001"/>
      <c r="V1001"/>
      <c r="Z1001"/>
      <c r="AA1001"/>
    </row>
    <row r="1002" spans="7:27" x14ac:dyDescent="0.45">
      <c r="G1002"/>
      <c r="H1002"/>
      <c r="I1002"/>
      <c r="J1002"/>
      <c r="M1002"/>
      <c r="O1002"/>
      <c r="Q1002"/>
      <c r="R1002"/>
      <c r="S1002"/>
      <c r="T1002"/>
      <c r="U1002"/>
      <c r="V1002"/>
      <c r="Z1002"/>
      <c r="AA1002"/>
    </row>
    <row r="1003" spans="7:27" x14ac:dyDescent="0.45">
      <c r="G1003"/>
      <c r="H1003"/>
      <c r="I1003"/>
      <c r="J1003"/>
      <c r="M1003"/>
      <c r="O1003"/>
      <c r="Q1003"/>
      <c r="R1003"/>
      <c r="S1003"/>
      <c r="T1003"/>
      <c r="U1003"/>
      <c r="V1003"/>
      <c r="Z1003"/>
      <c r="AA1003"/>
    </row>
    <row r="1004" spans="7:27" x14ac:dyDescent="0.45">
      <c r="G1004"/>
      <c r="H1004"/>
      <c r="I1004"/>
      <c r="J1004"/>
      <c r="M1004"/>
      <c r="O1004"/>
      <c r="Q1004"/>
      <c r="R1004"/>
      <c r="S1004"/>
      <c r="T1004"/>
      <c r="U1004"/>
      <c r="V1004"/>
      <c r="Z1004"/>
      <c r="AA1004"/>
    </row>
    <row r="1005" spans="7:27" x14ac:dyDescent="0.45">
      <c r="G1005"/>
      <c r="H1005"/>
      <c r="I1005"/>
      <c r="J1005"/>
      <c r="M1005"/>
      <c r="O1005"/>
      <c r="Q1005"/>
      <c r="R1005"/>
      <c r="S1005"/>
      <c r="T1005"/>
      <c r="U1005"/>
      <c r="V1005"/>
      <c r="Z1005"/>
      <c r="AA1005"/>
    </row>
    <row r="1006" spans="7:27" x14ac:dyDescent="0.45">
      <c r="G1006"/>
      <c r="H1006"/>
      <c r="I1006"/>
      <c r="J1006"/>
      <c r="M1006"/>
      <c r="O1006"/>
      <c r="Q1006"/>
      <c r="R1006"/>
      <c r="S1006"/>
      <c r="T1006"/>
      <c r="U1006"/>
      <c r="V1006"/>
      <c r="Z1006"/>
      <c r="AA1006"/>
    </row>
    <row r="1007" spans="7:27" x14ac:dyDescent="0.45">
      <c r="G1007"/>
      <c r="H1007"/>
      <c r="I1007"/>
      <c r="J1007"/>
      <c r="M1007"/>
      <c r="O1007"/>
      <c r="Q1007"/>
      <c r="R1007"/>
      <c r="S1007"/>
      <c r="T1007"/>
      <c r="U1007"/>
      <c r="V1007"/>
      <c r="Z1007"/>
      <c r="AA1007"/>
    </row>
    <row r="1008" spans="7:27" x14ac:dyDescent="0.45">
      <c r="G1008"/>
      <c r="H1008"/>
      <c r="I1008"/>
      <c r="J1008"/>
      <c r="M1008"/>
      <c r="O1008"/>
      <c r="Q1008"/>
      <c r="R1008"/>
      <c r="S1008"/>
      <c r="T1008"/>
      <c r="U1008"/>
      <c r="V1008"/>
      <c r="Z1008"/>
      <c r="AA1008"/>
    </row>
    <row r="1009" spans="7:27" x14ac:dyDescent="0.45">
      <c r="G1009"/>
      <c r="H1009"/>
      <c r="I1009"/>
      <c r="J1009"/>
      <c r="M1009"/>
      <c r="O1009"/>
      <c r="Q1009"/>
      <c r="R1009"/>
      <c r="S1009"/>
      <c r="T1009"/>
      <c r="U1009"/>
      <c r="V1009"/>
      <c r="Z1009"/>
      <c r="AA1009"/>
    </row>
    <row r="1010" spans="7:27" x14ac:dyDescent="0.45">
      <c r="G1010"/>
      <c r="H1010"/>
      <c r="I1010"/>
      <c r="J1010"/>
      <c r="M1010"/>
      <c r="O1010"/>
      <c r="Q1010"/>
      <c r="R1010"/>
      <c r="S1010"/>
      <c r="T1010"/>
      <c r="U1010"/>
      <c r="V1010"/>
      <c r="Z1010"/>
      <c r="AA1010"/>
    </row>
    <row r="1011" spans="7:27" x14ac:dyDescent="0.45">
      <c r="G1011"/>
      <c r="H1011"/>
      <c r="I1011"/>
      <c r="J1011"/>
      <c r="M1011"/>
      <c r="O1011"/>
      <c r="Q1011"/>
      <c r="R1011"/>
      <c r="S1011"/>
      <c r="T1011"/>
      <c r="U1011"/>
      <c r="V1011"/>
      <c r="Z1011"/>
      <c r="AA1011"/>
    </row>
    <row r="1012" spans="7:27" x14ac:dyDescent="0.45">
      <c r="G1012"/>
      <c r="H1012"/>
      <c r="I1012"/>
      <c r="J1012"/>
      <c r="M1012"/>
      <c r="O1012"/>
      <c r="Q1012"/>
      <c r="R1012"/>
      <c r="S1012"/>
      <c r="T1012"/>
      <c r="U1012"/>
      <c r="V1012"/>
      <c r="Z1012"/>
      <c r="AA1012"/>
    </row>
    <row r="1013" spans="7:27" x14ac:dyDescent="0.45">
      <c r="G1013"/>
      <c r="H1013"/>
      <c r="I1013"/>
      <c r="J1013"/>
      <c r="M1013"/>
      <c r="O1013"/>
      <c r="Q1013"/>
      <c r="R1013"/>
      <c r="S1013"/>
      <c r="T1013"/>
      <c r="U1013"/>
      <c r="V1013"/>
      <c r="Z1013"/>
      <c r="AA1013"/>
    </row>
    <row r="1014" spans="7:27" x14ac:dyDescent="0.45">
      <c r="G1014"/>
      <c r="H1014"/>
      <c r="I1014"/>
      <c r="J1014"/>
      <c r="M1014"/>
      <c r="O1014"/>
      <c r="Q1014"/>
      <c r="R1014"/>
      <c r="S1014"/>
      <c r="T1014"/>
      <c r="U1014"/>
      <c r="V1014"/>
      <c r="Z1014"/>
      <c r="AA1014"/>
    </row>
    <row r="1015" spans="7:27" x14ac:dyDescent="0.45">
      <c r="G1015"/>
      <c r="H1015"/>
      <c r="I1015"/>
      <c r="J1015"/>
      <c r="M1015"/>
      <c r="O1015"/>
      <c r="Q1015"/>
      <c r="R1015"/>
      <c r="S1015"/>
      <c r="T1015"/>
      <c r="U1015"/>
      <c r="V1015"/>
      <c r="Z1015"/>
      <c r="AA1015"/>
    </row>
    <row r="1016" spans="7:27" x14ac:dyDescent="0.45">
      <c r="G1016"/>
      <c r="H1016"/>
      <c r="I1016"/>
      <c r="J1016"/>
      <c r="M1016"/>
      <c r="O1016"/>
      <c r="Q1016"/>
      <c r="R1016"/>
      <c r="S1016"/>
      <c r="T1016"/>
      <c r="U1016"/>
      <c r="V1016"/>
      <c r="Z1016"/>
      <c r="AA1016"/>
    </row>
    <row r="1017" spans="7:27" x14ac:dyDescent="0.45">
      <c r="G1017"/>
      <c r="H1017"/>
      <c r="I1017"/>
      <c r="J1017"/>
      <c r="M1017"/>
      <c r="O1017"/>
      <c r="Q1017"/>
      <c r="R1017"/>
      <c r="S1017"/>
      <c r="T1017"/>
      <c r="U1017"/>
      <c r="V1017"/>
      <c r="Z1017"/>
      <c r="AA1017"/>
    </row>
    <row r="1018" spans="7:27" x14ac:dyDescent="0.45">
      <c r="G1018"/>
      <c r="H1018"/>
      <c r="I1018"/>
      <c r="J1018"/>
      <c r="M1018"/>
      <c r="O1018"/>
      <c r="Q1018"/>
      <c r="R1018"/>
      <c r="S1018"/>
      <c r="T1018"/>
      <c r="U1018"/>
      <c r="V1018"/>
      <c r="Z1018"/>
      <c r="AA1018"/>
    </row>
    <row r="1019" spans="7:27" x14ac:dyDescent="0.45">
      <c r="G1019"/>
      <c r="H1019"/>
      <c r="I1019"/>
      <c r="J1019"/>
      <c r="M1019"/>
      <c r="O1019"/>
      <c r="Q1019"/>
      <c r="R1019"/>
      <c r="S1019"/>
      <c r="T1019"/>
      <c r="U1019"/>
      <c r="V1019"/>
      <c r="Z1019"/>
      <c r="AA1019"/>
    </row>
    <row r="1020" spans="7:27" x14ac:dyDescent="0.45">
      <c r="G1020"/>
      <c r="H1020"/>
      <c r="I1020"/>
      <c r="J1020"/>
      <c r="M1020"/>
      <c r="O1020"/>
      <c r="Q1020"/>
      <c r="R1020"/>
      <c r="S1020"/>
      <c r="T1020"/>
      <c r="U1020"/>
      <c r="V1020"/>
      <c r="Z1020"/>
      <c r="AA1020"/>
    </row>
    <row r="1021" spans="7:27" x14ac:dyDescent="0.45">
      <c r="G1021"/>
      <c r="H1021"/>
      <c r="I1021"/>
      <c r="J1021"/>
      <c r="M1021"/>
      <c r="O1021"/>
      <c r="Q1021"/>
      <c r="R1021"/>
      <c r="S1021"/>
      <c r="T1021"/>
      <c r="U1021"/>
      <c r="V1021"/>
      <c r="Z1021"/>
      <c r="AA1021"/>
    </row>
    <row r="1022" spans="7:27" x14ac:dyDescent="0.45">
      <c r="G1022"/>
      <c r="H1022"/>
      <c r="I1022"/>
      <c r="J1022"/>
      <c r="M1022"/>
      <c r="O1022"/>
      <c r="Q1022"/>
      <c r="R1022"/>
      <c r="S1022"/>
      <c r="T1022"/>
      <c r="U1022"/>
      <c r="V1022"/>
      <c r="Z1022"/>
      <c r="AA1022"/>
    </row>
    <row r="1023" spans="7:27" x14ac:dyDescent="0.45">
      <c r="G1023"/>
      <c r="H1023"/>
      <c r="I1023"/>
      <c r="J1023"/>
      <c r="M1023"/>
      <c r="O1023"/>
      <c r="Q1023"/>
      <c r="R1023"/>
      <c r="S1023"/>
      <c r="T1023"/>
      <c r="U1023"/>
      <c r="V1023"/>
      <c r="Z1023"/>
      <c r="AA1023"/>
    </row>
    <row r="1024" spans="7:27" x14ac:dyDescent="0.45">
      <c r="G1024"/>
      <c r="H1024"/>
      <c r="I1024"/>
      <c r="J1024"/>
      <c r="M1024"/>
      <c r="O1024"/>
      <c r="Q1024"/>
      <c r="R1024"/>
      <c r="S1024"/>
      <c r="T1024"/>
      <c r="U1024"/>
      <c r="V1024"/>
      <c r="Z1024"/>
      <c r="AA1024"/>
    </row>
    <row r="1025" spans="7:27" x14ac:dyDescent="0.45">
      <c r="G1025"/>
      <c r="H1025"/>
      <c r="I1025"/>
      <c r="J1025"/>
      <c r="M1025"/>
      <c r="O1025"/>
      <c r="Q1025"/>
      <c r="R1025"/>
      <c r="S1025"/>
      <c r="T1025"/>
      <c r="U1025"/>
      <c r="V1025"/>
      <c r="Z1025"/>
      <c r="AA1025"/>
    </row>
    <row r="1026" spans="7:27" x14ac:dyDescent="0.45">
      <c r="G1026"/>
      <c r="H1026"/>
      <c r="I1026"/>
      <c r="J1026"/>
      <c r="M1026"/>
      <c r="O1026"/>
      <c r="Q1026"/>
      <c r="R1026"/>
      <c r="S1026"/>
      <c r="T1026"/>
      <c r="U1026"/>
      <c r="V1026"/>
      <c r="Z1026"/>
      <c r="AA1026"/>
    </row>
    <row r="1027" spans="7:27" x14ac:dyDescent="0.45">
      <c r="G1027"/>
      <c r="H1027"/>
      <c r="I1027"/>
      <c r="J1027"/>
      <c r="M1027"/>
      <c r="O1027"/>
      <c r="Q1027"/>
      <c r="R1027"/>
      <c r="S1027"/>
      <c r="T1027"/>
      <c r="U1027"/>
      <c r="V1027"/>
      <c r="Z1027"/>
      <c r="AA1027"/>
    </row>
    <row r="1028" spans="7:27" x14ac:dyDescent="0.45">
      <c r="G1028"/>
      <c r="H1028"/>
      <c r="I1028"/>
      <c r="J1028"/>
      <c r="M1028"/>
      <c r="O1028"/>
      <c r="Q1028"/>
      <c r="R1028"/>
      <c r="S1028"/>
      <c r="T1028"/>
      <c r="U1028"/>
      <c r="V1028"/>
      <c r="Z1028"/>
      <c r="AA1028"/>
    </row>
    <row r="1029" spans="7:27" x14ac:dyDescent="0.45">
      <c r="G1029"/>
      <c r="H1029"/>
      <c r="I1029"/>
      <c r="J1029"/>
      <c r="M1029"/>
      <c r="O1029"/>
      <c r="Q1029"/>
      <c r="R1029"/>
      <c r="S1029"/>
      <c r="T1029"/>
      <c r="U1029"/>
      <c r="V1029"/>
      <c r="Z1029"/>
      <c r="AA1029"/>
    </row>
    <row r="1030" spans="7:27" x14ac:dyDescent="0.45">
      <c r="G1030"/>
      <c r="H1030"/>
      <c r="I1030"/>
      <c r="J1030"/>
      <c r="M1030"/>
      <c r="O1030"/>
      <c r="Q1030"/>
      <c r="R1030"/>
      <c r="S1030"/>
      <c r="T1030"/>
      <c r="U1030"/>
      <c r="V1030"/>
      <c r="Z1030"/>
      <c r="AA1030"/>
    </row>
    <row r="1031" spans="7:27" x14ac:dyDescent="0.45">
      <c r="G1031"/>
      <c r="H1031"/>
      <c r="I1031"/>
      <c r="J1031"/>
      <c r="M1031"/>
      <c r="O1031"/>
      <c r="Q1031"/>
      <c r="R1031"/>
      <c r="S1031"/>
      <c r="T1031"/>
      <c r="U1031"/>
      <c r="V1031"/>
      <c r="Z1031"/>
      <c r="AA1031"/>
    </row>
    <row r="1032" spans="7:27" x14ac:dyDescent="0.45">
      <c r="G1032"/>
      <c r="H1032"/>
      <c r="I1032"/>
      <c r="J1032"/>
      <c r="M1032"/>
      <c r="O1032"/>
      <c r="Q1032"/>
      <c r="R1032"/>
      <c r="S1032"/>
      <c r="T1032"/>
      <c r="U1032"/>
      <c r="V1032"/>
      <c r="Z1032"/>
      <c r="AA1032"/>
    </row>
    <row r="1033" spans="7:27" x14ac:dyDescent="0.45">
      <c r="G1033"/>
      <c r="H1033"/>
      <c r="I1033"/>
      <c r="J1033"/>
      <c r="M1033"/>
      <c r="O1033"/>
      <c r="Q1033"/>
      <c r="R1033"/>
      <c r="S1033"/>
      <c r="T1033"/>
      <c r="U1033"/>
      <c r="V1033"/>
      <c r="Z1033"/>
      <c r="AA1033"/>
    </row>
    <row r="1034" spans="7:27" x14ac:dyDescent="0.45">
      <c r="G1034"/>
      <c r="H1034"/>
      <c r="I1034"/>
      <c r="J1034"/>
      <c r="M1034"/>
      <c r="O1034"/>
      <c r="Q1034"/>
      <c r="R1034"/>
      <c r="S1034"/>
      <c r="T1034"/>
      <c r="U1034"/>
      <c r="V1034"/>
      <c r="Z1034"/>
      <c r="AA1034"/>
    </row>
    <row r="1035" spans="7:27" x14ac:dyDescent="0.45">
      <c r="G1035"/>
      <c r="H1035"/>
      <c r="I1035"/>
      <c r="J1035"/>
      <c r="M1035"/>
      <c r="O1035"/>
      <c r="Q1035"/>
      <c r="R1035"/>
      <c r="S1035"/>
      <c r="T1035"/>
      <c r="U1035"/>
      <c r="V1035"/>
      <c r="Z1035"/>
      <c r="AA1035"/>
    </row>
    <row r="1036" spans="7:27" x14ac:dyDescent="0.45">
      <c r="G1036"/>
      <c r="H1036"/>
      <c r="I1036"/>
      <c r="J1036"/>
      <c r="M1036"/>
      <c r="O1036"/>
      <c r="Q1036"/>
      <c r="R1036"/>
      <c r="S1036"/>
      <c r="T1036"/>
      <c r="U1036"/>
      <c r="V1036"/>
      <c r="Z1036"/>
      <c r="AA1036"/>
    </row>
    <row r="1037" spans="7:27" x14ac:dyDescent="0.45">
      <c r="G1037"/>
      <c r="H1037"/>
      <c r="I1037"/>
      <c r="J1037"/>
      <c r="M1037"/>
      <c r="O1037"/>
      <c r="Q1037"/>
      <c r="R1037"/>
      <c r="S1037"/>
      <c r="T1037"/>
      <c r="U1037"/>
      <c r="V1037"/>
      <c r="Z1037"/>
      <c r="AA1037"/>
    </row>
    <row r="1038" spans="7:27" x14ac:dyDescent="0.45">
      <c r="G1038"/>
      <c r="H1038"/>
      <c r="I1038"/>
      <c r="J1038"/>
      <c r="M1038"/>
      <c r="O1038"/>
      <c r="Q1038"/>
      <c r="R1038"/>
      <c r="S1038"/>
      <c r="T1038"/>
      <c r="U1038"/>
      <c r="V1038"/>
      <c r="Z1038"/>
      <c r="AA1038"/>
    </row>
    <row r="1039" spans="7:27" x14ac:dyDescent="0.45">
      <c r="G1039"/>
      <c r="H1039"/>
      <c r="I1039"/>
      <c r="J1039"/>
      <c r="M1039"/>
      <c r="O1039"/>
      <c r="Q1039"/>
      <c r="R1039"/>
      <c r="S1039"/>
      <c r="T1039"/>
      <c r="U1039"/>
      <c r="V1039"/>
      <c r="Z1039"/>
      <c r="AA1039"/>
    </row>
    <row r="1040" spans="7:27" x14ac:dyDescent="0.45">
      <c r="G1040"/>
      <c r="H1040"/>
      <c r="I1040"/>
      <c r="J1040"/>
      <c r="M1040"/>
      <c r="O1040"/>
      <c r="Q1040"/>
      <c r="R1040"/>
      <c r="S1040"/>
      <c r="T1040"/>
      <c r="U1040"/>
      <c r="V1040"/>
      <c r="Z1040"/>
      <c r="AA1040"/>
    </row>
    <row r="1041" spans="7:27" x14ac:dyDescent="0.45">
      <c r="G1041"/>
      <c r="H1041"/>
      <c r="I1041"/>
      <c r="J1041"/>
      <c r="M1041"/>
      <c r="O1041"/>
      <c r="Q1041"/>
      <c r="R1041"/>
      <c r="S1041"/>
      <c r="T1041"/>
      <c r="U1041"/>
      <c r="V1041"/>
      <c r="Z1041"/>
      <c r="AA1041"/>
    </row>
    <row r="1042" spans="7:27" x14ac:dyDescent="0.45">
      <c r="G1042"/>
      <c r="H1042"/>
      <c r="I1042"/>
      <c r="J1042"/>
      <c r="M1042"/>
      <c r="O1042"/>
      <c r="Q1042"/>
      <c r="R1042"/>
      <c r="S1042"/>
      <c r="T1042"/>
      <c r="U1042"/>
      <c r="V1042"/>
      <c r="Z1042"/>
      <c r="AA1042"/>
    </row>
    <row r="1043" spans="7:27" x14ac:dyDescent="0.45">
      <c r="G1043"/>
      <c r="H1043"/>
      <c r="I1043"/>
      <c r="J1043"/>
      <c r="M1043"/>
      <c r="O1043"/>
      <c r="Q1043"/>
      <c r="R1043"/>
      <c r="S1043"/>
      <c r="T1043"/>
      <c r="U1043"/>
      <c r="V1043"/>
      <c r="Z1043"/>
      <c r="AA1043"/>
    </row>
    <row r="1044" spans="7:27" x14ac:dyDescent="0.45">
      <c r="G1044"/>
      <c r="H1044"/>
      <c r="I1044"/>
      <c r="J1044"/>
      <c r="M1044"/>
      <c r="O1044"/>
      <c r="Q1044"/>
      <c r="R1044"/>
      <c r="S1044"/>
      <c r="T1044"/>
      <c r="U1044"/>
      <c r="V1044"/>
      <c r="Z1044"/>
      <c r="AA1044"/>
    </row>
    <row r="1045" spans="7:27" x14ac:dyDescent="0.45">
      <c r="G1045"/>
      <c r="H1045"/>
      <c r="I1045"/>
      <c r="J1045"/>
      <c r="M1045"/>
      <c r="O1045"/>
      <c r="Q1045"/>
      <c r="R1045"/>
      <c r="S1045"/>
      <c r="T1045"/>
      <c r="U1045"/>
      <c r="V1045"/>
      <c r="Z1045"/>
      <c r="AA1045"/>
    </row>
    <row r="1046" spans="7:27" x14ac:dyDescent="0.45">
      <c r="G1046"/>
      <c r="H1046"/>
      <c r="I1046"/>
      <c r="J1046"/>
      <c r="M1046"/>
      <c r="O1046"/>
      <c r="Q1046"/>
      <c r="R1046"/>
      <c r="S1046"/>
      <c r="T1046"/>
      <c r="U1046"/>
      <c r="V1046"/>
      <c r="Z1046"/>
      <c r="AA1046"/>
    </row>
    <row r="1047" spans="7:27" x14ac:dyDescent="0.45">
      <c r="G1047"/>
      <c r="H1047"/>
      <c r="I1047"/>
      <c r="J1047"/>
      <c r="M1047"/>
      <c r="O1047"/>
      <c r="Q1047"/>
      <c r="R1047"/>
      <c r="S1047"/>
      <c r="T1047"/>
      <c r="U1047"/>
      <c r="V1047"/>
      <c r="Z1047"/>
      <c r="AA1047"/>
    </row>
    <row r="1048" spans="7:27" x14ac:dyDescent="0.45">
      <c r="G1048"/>
      <c r="H1048"/>
      <c r="I1048"/>
      <c r="J1048"/>
      <c r="M1048"/>
      <c r="O1048"/>
      <c r="Q1048"/>
      <c r="R1048"/>
      <c r="S1048"/>
      <c r="T1048"/>
      <c r="U1048"/>
      <c r="V1048"/>
      <c r="Z1048"/>
      <c r="AA1048"/>
    </row>
    <row r="1049" spans="7:27" x14ac:dyDescent="0.45">
      <c r="G1049"/>
      <c r="H1049"/>
      <c r="I1049"/>
      <c r="J1049"/>
      <c r="M1049"/>
      <c r="O1049"/>
      <c r="Q1049"/>
      <c r="R1049"/>
      <c r="S1049"/>
      <c r="T1049"/>
      <c r="U1049"/>
      <c r="V1049"/>
      <c r="Z1049"/>
      <c r="AA1049"/>
    </row>
    <row r="1050" spans="7:27" x14ac:dyDescent="0.45">
      <c r="G1050"/>
      <c r="H1050"/>
      <c r="I1050"/>
      <c r="J1050"/>
      <c r="M1050"/>
      <c r="O1050"/>
      <c r="Q1050"/>
      <c r="R1050"/>
      <c r="S1050"/>
      <c r="T1050"/>
      <c r="U1050"/>
      <c r="V1050"/>
      <c r="Z1050"/>
      <c r="AA1050"/>
    </row>
    <row r="1051" spans="7:27" x14ac:dyDescent="0.45">
      <c r="G1051"/>
      <c r="H1051"/>
      <c r="I1051"/>
      <c r="J1051"/>
      <c r="M1051"/>
      <c r="O1051"/>
      <c r="Q1051"/>
      <c r="R1051"/>
      <c r="S1051"/>
      <c r="T1051"/>
      <c r="U1051"/>
      <c r="V1051"/>
      <c r="Z1051"/>
      <c r="AA1051"/>
    </row>
    <row r="1052" spans="7:27" x14ac:dyDescent="0.45">
      <c r="G1052"/>
      <c r="H1052"/>
      <c r="I1052"/>
      <c r="J1052"/>
      <c r="M1052"/>
      <c r="O1052"/>
      <c r="Q1052"/>
      <c r="R1052"/>
      <c r="S1052"/>
      <c r="T1052"/>
      <c r="U1052"/>
      <c r="V1052"/>
      <c r="Z1052"/>
      <c r="AA1052"/>
    </row>
    <row r="1053" spans="7:27" x14ac:dyDescent="0.45">
      <c r="G1053"/>
      <c r="H1053"/>
      <c r="I1053"/>
      <c r="J1053"/>
      <c r="M1053"/>
      <c r="O1053"/>
      <c r="Q1053"/>
      <c r="R1053"/>
      <c r="S1053"/>
      <c r="T1053"/>
      <c r="U1053"/>
      <c r="V1053"/>
      <c r="Z1053"/>
      <c r="AA1053"/>
    </row>
    <row r="1054" spans="7:27" x14ac:dyDescent="0.45">
      <c r="G1054"/>
      <c r="H1054"/>
      <c r="I1054"/>
      <c r="J1054"/>
      <c r="M1054"/>
      <c r="O1054"/>
      <c r="Q1054"/>
      <c r="R1054"/>
      <c r="S1054"/>
      <c r="T1054"/>
      <c r="U1054"/>
      <c r="V1054"/>
      <c r="Z1054"/>
      <c r="AA1054"/>
    </row>
    <row r="1055" spans="7:27" x14ac:dyDescent="0.45">
      <c r="G1055"/>
      <c r="H1055"/>
      <c r="I1055"/>
      <c r="J1055"/>
      <c r="M1055"/>
      <c r="O1055"/>
      <c r="Q1055"/>
      <c r="R1055"/>
      <c r="S1055"/>
      <c r="T1055"/>
      <c r="U1055"/>
      <c r="V1055"/>
      <c r="Z1055"/>
      <c r="AA1055"/>
    </row>
    <row r="1056" spans="7:27" x14ac:dyDescent="0.45">
      <c r="G1056"/>
      <c r="H1056"/>
      <c r="I1056"/>
      <c r="J1056"/>
      <c r="M1056"/>
      <c r="O1056"/>
      <c r="Q1056"/>
      <c r="R1056"/>
      <c r="S1056"/>
      <c r="T1056"/>
      <c r="U1056"/>
      <c r="V1056"/>
      <c r="Z1056"/>
      <c r="AA1056"/>
    </row>
    <row r="1057" spans="7:27" x14ac:dyDescent="0.45">
      <c r="G1057"/>
      <c r="H1057"/>
      <c r="I1057"/>
      <c r="J1057"/>
      <c r="M1057"/>
      <c r="O1057"/>
      <c r="Q1057"/>
      <c r="R1057"/>
      <c r="S1057"/>
      <c r="T1057"/>
      <c r="U1057"/>
      <c r="V1057"/>
      <c r="Z1057"/>
      <c r="AA1057"/>
    </row>
    <row r="1058" spans="7:27" x14ac:dyDescent="0.45">
      <c r="G1058"/>
      <c r="H1058"/>
      <c r="I1058"/>
      <c r="J1058"/>
      <c r="M1058"/>
      <c r="O1058"/>
      <c r="Q1058"/>
      <c r="R1058"/>
      <c r="S1058"/>
      <c r="T1058"/>
      <c r="U1058"/>
      <c r="V1058"/>
      <c r="Z1058"/>
      <c r="AA1058"/>
    </row>
    <row r="1059" spans="7:27" x14ac:dyDescent="0.45">
      <c r="G1059"/>
      <c r="H1059"/>
      <c r="I1059"/>
      <c r="J1059"/>
      <c r="M1059"/>
      <c r="O1059"/>
      <c r="Q1059"/>
      <c r="R1059"/>
      <c r="S1059"/>
      <c r="T1059"/>
      <c r="U1059"/>
      <c r="V1059"/>
      <c r="Z1059"/>
      <c r="AA1059"/>
    </row>
    <row r="1060" spans="7:27" x14ac:dyDescent="0.45">
      <c r="G1060"/>
      <c r="H1060"/>
      <c r="I1060"/>
      <c r="J1060"/>
      <c r="M1060"/>
      <c r="O1060"/>
      <c r="Q1060"/>
      <c r="R1060"/>
      <c r="S1060"/>
      <c r="T1060"/>
      <c r="U1060"/>
      <c r="V1060"/>
      <c r="Z1060"/>
      <c r="AA1060"/>
    </row>
    <row r="1061" spans="7:27" x14ac:dyDescent="0.45">
      <c r="G1061"/>
      <c r="H1061"/>
      <c r="I1061"/>
      <c r="J1061"/>
      <c r="M1061"/>
      <c r="O1061"/>
      <c r="Q1061"/>
      <c r="R1061"/>
      <c r="S1061"/>
      <c r="T1061"/>
      <c r="U1061"/>
      <c r="V1061"/>
      <c r="Z1061"/>
      <c r="AA1061"/>
    </row>
    <row r="1062" spans="7:27" x14ac:dyDescent="0.45">
      <c r="G1062"/>
      <c r="H1062"/>
      <c r="I1062"/>
      <c r="J1062"/>
      <c r="M1062"/>
      <c r="O1062"/>
      <c r="Q1062"/>
      <c r="R1062"/>
      <c r="S1062"/>
      <c r="T1062"/>
      <c r="U1062"/>
      <c r="V1062"/>
      <c r="Z1062"/>
      <c r="AA1062"/>
    </row>
    <row r="1063" spans="7:27" x14ac:dyDescent="0.45">
      <c r="G1063"/>
      <c r="H1063"/>
      <c r="I1063"/>
      <c r="J1063"/>
      <c r="M1063"/>
      <c r="O1063"/>
      <c r="Q1063"/>
      <c r="R1063"/>
      <c r="S1063"/>
      <c r="T1063"/>
      <c r="U1063"/>
      <c r="V1063"/>
      <c r="Z1063"/>
      <c r="AA1063"/>
    </row>
    <row r="1064" spans="7:27" x14ac:dyDescent="0.45">
      <c r="G1064"/>
      <c r="H1064"/>
      <c r="I1064"/>
      <c r="J1064"/>
      <c r="M1064"/>
      <c r="O1064"/>
      <c r="Q1064"/>
      <c r="R1064"/>
      <c r="S1064"/>
      <c r="T1064"/>
      <c r="U1064"/>
      <c r="V1064"/>
      <c r="Z1064"/>
      <c r="AA1064"/>
    </row>
    <row r="1065" spans="7:27" x14ac:dyDescent="0.45">
      <c r="G1065"/>
      <c r="H1065"/>
      <c r="I1065"/>
      <c r="J1065"/>
      <c r="M1065"/>
      <c r="O1065"/>
      <c r="Q1065"/>
      <c r="R1065"/>
      <c r="S1065"/>
      <c r="T1065"/>
      <c r="U1065"/>
      <c r="V1065"/>
      <c r="Z1065"/>
      <c r="AA1065"/>
    </row>
    <row r="1066" spans="7:27" x14ac:dyDescent="0.45">
      <c r="G1066"/>
      <c r="H1066"/>
      <c r="I1066"/>
      <c r="J1066"/>
      <c r="M1066"/>
      <c r="O1066"/>
      <c r="Q1066"/>
      <c r="R1066"/>
      <c r="S1066"/>
      <c r="T1066"/>
      <c r="U1066"/>
      <c r="V1066"/>
      <c r="Z1066"/>
      <c r="AA1066"/>
    </row>
    <row r="1067" spans="7:27" x14ac:dyDescent="0.45">
      <c r="G1067"/>
      <c r="H1067"/>
      <c r="I1067"/>
      <c r="J1067"/>
      <c r="M1067"/>
      <c r="O1067"/>
      <c r="Q1067"/>
      <c r="R1067"/>
      <c r="S1067"/>
      <c r="T1067"/>
      <c r="U1067"/>
      <c r="V1067"/>
      <c r="Z1067"/>
      <c r="AA1067"/>
    </row>
    <row r="1068" spans="7:27" x14ac:dyDescent="0.45">
      <c r="G1068"/>
      <c r="H1068"/>
      <c r="I1068"/>
      <c r="J1068"/>
      <c r="M1068"/>
      <c r="O1068"/>
      <c r="Q1068"/>
      <c r="R1068"/>
      <c r="S1068"/>
      <c r="T1068"/>
      <c r="U1068"/>
      <c r="V1068"/>
      <c r="Z1068"/>
      <c r="AA1068"/>
    </row>
    <row r="1069" spans="7:27" x14ac:dyDescent="0.45">
      <c r="G1069"/>
      <c r="H1069"/>
      <c r="I1069"/>
      <c r="J1069"/>
      <c r="M1069"/>
      <c r="O1069"/>
      <c r="Q1069"/>
      <c r="R1069"/>
      <c r="S1069"/>
      <c r="T1069"/>
      <c r="U1069"/>
      <c r="V1069"/>
      <c r="Z1069"/>
      <c r="AA1069"/>
    </row>
    <row r="1070" spans="7:27" x14ac:dyDescent="0.45">
      <c r="G1070"/>
      <c r="H1070"/>
      <c r="I1070"/>
      <c r="J1070"/>
      <c r="M1070"/>
      <c r="O1070"/>
      <c r="Q1070"/>
      <c r="R1070"/>
      <c r="S1070"/>
      <c r="T1070"/>
      <c r="U1070"/>
      <c r="V1070"/>
      <c r="Z1070"/>
      <c r="AA1070"/>
    </row>
    <row r="1071" spans="7:27" x14ac:dyDescent="0.45">
      <c r="G1071"/>
      <c r="H1071"/>
      <c r="I1071"/>
      <c r="J1071"/>
      <c r="M1071"/>
      <c r="O1071"/>
      <c r="Q1071"/>
      <c r="R1071"/>
      <c r="S1071"/>
      <c r="T1071"/>
      <c r="U1071"/>
      <c r="V1071"/>
      <c r="Z1071"/>
      <c r="AA1071"/>
    </row>
    <row r="1072" spans="7:27" x14ac:dyDescent="0.45">
      <c r="G1072"/>
      <c r="H1072"/>
      <c r="I1072"/>
      <c r="J1072"/>
      <c r="M1072"/>
      <c r="O1072"/>
      <c r="Q1072"/>
      <c r="R1072"/>
      <c r="S1072"/>
      <c r="T1072"/>
      <c r="U1072"/>
      <c r="V1072"/>
      <c r="Z1072"/>
      <c r="AA1072"/>
    </row>
    <row r="1073" spans="7:27" x14ac:dyDescent="0.45">
      <c r="G1073"/>
      <c r="H1073"/>
      <c r="I1073"/>
      <c r="J1073"/>
      <c r="M1073"/>
      <c r="O1073"/>
      <c r="Q1073"/>
      <c r="R1073"/>
      <c r="S1073"/>
      <c r="T1073"/>
      <c r="U1073"/>
      <c r="V1073"/>
      <c r="Z1073"/>
      <c r="AA1073"/>
    </row>
    <row r="1074" spans="7:27" x14ac:dyDescent="0.45">
      <c r="G1074"/>
      <c r="H1074"/>
      <c r="I1074"/>
      <c r="J1074"/>
      <c r="M1074"/>
      <c r="O1074"/>
      <c r="Q1074"/>
      <c r="R1074"/>
      <c r="S1074"/>
      <c r="T1074"/>
      <c r="U1074"/>
      <c r="V1074"/>
      <c r="Z1074"/>
      <c r="AA1074"/>
    </row>
    <row r="1075" spans="7:27" x14ac:dyDescent="0.45">
      <c r="G1075"/>
      <c r="H1075"/>
      <c r="I1075"/>
      <c r="J1075"/>
      <c r="M1075"/>
      <c r="O1075"/>
      <c r="Q1075"/>
      <c r="R1075"/>
      <c r="S1075"/>
      <c r="T1075"/>
      <c r="U1075"/>
      <c r="V1075"/>
      <c r="Z1075"/>
      <c r="AA1075"/>
    </row>
    <row r="1076" spans="7:27" x14ac:dyDescent="0.45">
      <c r="G1076"/>
      <c r="H1076"/>
      <c r="I1076"/>
      <c r="J1076"/>
      <c r="M1076"/>
      <c r="O1076"/>
      <c r="Q1076"/>
      <c r="R1076"/>
      <c r="S1076"/>
      <c r="T1076"/>
      <c r="U1076"/>
      <c r="V1076"/>
      <c r="Z1076"/>
      <c r="AA1076"/>
    </row>
    <row r="1077" spans="7:27" x14ac:dyDescent="0.45">
      <c r="G1077"/>
      <c r="H1077"/>
      <c r="I1077"/>
      <c r="J1077"/>
      <c r="M1077"/>
      <c r="O1077"/>
      <c r="Q1077"/>
      <c r="R1077"/>
      <c r="S1077"/>
      <c r="T1077"/>
      <c r="U1077"/>
      <c r="V1077"/>
      <c r="Z1077"/>
      <c r="AA1077"/>
    </row>
    <row r="1078" spans="7:27" x14ac:dyDescent="0.45">
      <c r="G1078"/>
      <c r="H1078"/>
      <c r="I1078"/>
      <c r="J1078"/>
      <c r="M1078"/>
      <c r="O1078"/>
      <c r="Q1078"/>
      <c r="R1078"/>
      <c r="S1078"/>
      <c r="T1078"/>
      <c r="U1078"/>
      <c r="V1078"/>
      <c r="Z1078"/>
      <c r="AA1078"/>
    </row>
    <row r="1079" spans="7:27" x14ac:dyDescent="0.45">
      <c r="G1079"/>
      <c r="H1079"/>
      <c r="I1079"/>
      <c r="J1079"/>
      <c r="M1079"/>
      <c r="O1079"/>
      <c r="Q1079"/>
      <c r="R1079"/>
      <c r="S1079"/>
      <c r="T1079"/>
      <c r="U1079"/>
      <c r="V1079"/>
      <c r="Z1079"/>
      <c r="AA1079"/>
    </row>
    <row r="1080" spans="7:27" x14ac:dyDescent="0.45">
      <c r="G1080"/>
      <c r="H1080"/>
      <c r="I1080"/>
      <c r="J1080"/>
      <c r="M1080"/>
      <c r="O1080"/>
      <c r="Q1080"/>
      <c r="R1080"/>
      <c r="S1080"/>
      <c r="T1080"/>
      <c r="U1080"/>
      <c r="V1080"/>
      <c r="Z1080"/>
      <c r="AA1080"/>
    </row>
    <row r="1081" spans="7:27" x14ac:dyDescent="0.45">
      <c r="G1081"/>
      <c r="H1081"/>
      <c r="I1081"/>
      <c r="J1081"/>
      <c r="M1081"/>
      <c r="O1081"/>
      <c r="Q1081"/>
      <c r="R1081"/>
      <c r="S1081"/>
      <c r="T1081"/>
      <c r="U1081"/>
      <c r="V1081"/>
      <c r="Z1081"/>
      <c r="AA1081"/>
    </row>
    <row r="1082" spans="7:27" x14ac:dyDescent="0.45">
      <c r="G1082"/>
      <c r="H1082"/>
      <c r="I1082"/>
      <c r="J1082"/>
      <c r="M1082"/>
      <c r="O1082"/>
      <c r="Q1082"/>
      <c r="R1082"/>
      <c r="S1082"/>
      <c r="T1082"/>
      <c r="U1082"/>
      <c r="V1082"/>
      <c r="Z1082"/>
      <c r="AA1082"/>
    </row>
    <row r="1083" spans="7:27" x14ac:dyDescent="0.45">
      <c r="G1083"/>
      <c r="H1083"/>
      <c r="I1083"/>
      <c r="J1083"/>
      <c r="M1083"/>
      <c r="O1083"/>
      <c r="Q1083"/>
      <c r="R1083"/>
      <c r="S1083"/>
      <c r="T1083"/>
      <c r="U1083"/>
      <c r="V1083"/>
      <c r="Z1083"/>
      <c r="AA1083"/>
    </row>
    <row r="1084" spans="7:27" x14ac:dyDescent="0.45">
      <c r="G1084"/>
      <c r="H1084"/>
      <c r="I1084"/>
      <c r="J1084"/>
      <c r="M1084"/>
      <c r="O1084"/>
      <c r="Q1084"/>
      <c r="R1084"/>
      <c r="S1084"/>
      <c r="T1084"/>
      <c r="U1084"/>
      <c r="V1084"/>
      <c r="Z1084"/>
      <c r="AA1084"/>
    </row>
    <row r="1085" spans="7:27" x14ac:dyDescent="0.45">
      <c r="G1085"/>
      <c r="H1085"/>
      <c r="I1085"/>
      <c r="J1085"/>
      <c r="M1085"/>
      <c r="O1085"/>
      <c r="Q1085"/>
      <c r="R1085"/>
      <c r="S1085"/>
      <c r="T1085"/>
      <c r="U1085"/>
      <c r="V1085"/>
      <c r="Z1085"/>
      <c r="AA1085"/>
    </row>
    <row r="1086" spans="7:27" x14ac:dyDescent="0.45">
      <c r="G1086"/>
      <c r="H1086"/>
      <c r="I1086"/>
      <c r="J1086"/>
      <c r="M1086"/>
      <c r="O1086"/>
      <c r="Q1086"/>
      <c r="R1086"/>
      <c r="S1086"/>
      <c r="T1086"/>
      <c r="U1086"/>
      <c r="V1086"/>
      <c r="Z1086"/>
      <c r="AA1086"/>
    </row>
    <row r="1087" spans="7:27" x14ac:dyDescent="0.45">
      <c r="G1087"/>
      <c r="H1087"/>
      <c r="I1087"/>
      <c r="J1087"/>
      <c r="M1087"/>
      <c r="O1087"/>
      <c r="Q1087"/>
      <c r="R1087"/>
      <c r="S1087"/>
      <c r="T1087"/>
      <c r="U1087"/>
      <c r="V1087"/>
      <c r="Z1087"/>
      <c r="AA1087"/>
    </row>
    <row r="1088" spans="7:27" x14ac:dyDescent="0.45">
      <c r="G1088"/>
      <c r="H1088"/>
      <c r="I1088"/>
      <c r="J1088"/>
      <c r="M1088"/>
      <c r="O1088"/>
      <c r="Q1088"/>
      <c r="R1088"/>
      <c r="S1088"/>
      <c r="T1088"/>
      <c r="U1088"/>
      <c r="V1088"/>
      <c r="Z1088"/>
      <c r="AA1088"/>
    </row>
    <row r="1089" spans="7:27" x14ac:dyDescent="0.45">
      <c r="G1089"/>
      <c r="H1089"/>
      <c r="I1089"/>
      <c r="J1089"/>
      <c r="M1089"/>
      <c r="O1089"/>
      <c r="Q1089"/>
      <c r="R1089"/>
      <c r="S1089"/>
      <c r="T1089"/>
      <c r="U1089"/>
      <c r="V1089"/>
      <c r="Z1089"/>
      <c r="AA1089"/>
    </row>
    <row r="1090" spans="7:27" x14ac:dyDescent="0.45">
      <c r="G1090"/>
      <c r="H1090"/>
      <c r="I1090"/>
      <c r="J1090"/>
      <c r="M1090"/>
      <c r="O1090"/>
      <c r="Q1090"/>
      <c r="R1090"/>
      <c r="S1090"/>
      <c r="T1090"/>
      <c r="U1090"/>
      <c r="V1090"/>
      <c r="Z1090"/>
      <c r="AA1090"/>
    </row>
    <row r="1091" spans="7:27" x14ac:dyDescent="0.45">
      <c r="G1091"/>
      <c r="H1091"/>
      <c r="I1091"/>
      <c r="J1091"/>
      <c r="M1091"/>
      <c r="O1091"/>
      <c r="Q1091"/>
      <c r="R1091"/>
      <c r="S1091"/>
      <c r="T1091"/>
      <c r="U1091"/>
      <c r="V1091"/>
      <c r="Z1091"/>
      <c r="AA1091"/>
    </row>
    <row r="1092" spans="7:27" x14ac:dyDescent="0.45">
      <c r="G1092"/>
      <c r="H1092"/>
      <c r="I1092"/>
      <c r="J1092"/>
      <c r="M1092"/>
      <c r="O1092"/>
      <c r="Q1092"/>
      <c r="R1092"/>
      <c r="S1092"/>
      <c r="T1092"/>
      <c r="U1092"/>
      <c r="V1092"/>
      <c r="Z1092"/>
      <c r="AA1092"/>
    </row>
    <row r="1093" spans="7:27" x14ac:dyDescent="0.45">
      <c r="G1093"/>
      <c r="H1093"/>
      <c r="I1093"/>
      <c r="J1093"/>
      <c r="M1093"/>
      <c r="O1093"/>
      <c r="Q1093"/>
      <c r="R1093"/>
      <c r="S1093"/>
      <c r="T1093"/>
      <c r="U1093"/>
      <c r="V1093"/>
      <c r="Z1093"/>
      <c r="AA1093"/>
    </row>
    <row r="1094" spans="7:27" x14ac:dyDescent="0.45">
      <c r="G1094"/>
      <c r="H1094"/>
      <c r="I1094"/>
      <c r="J1094"/>
      <c r="M1094"/>
      <c r="O1094"/>
      <c r="Q1094"/>
      <c r="R1094"/>
      <c r="S1094"/>
      <c r="T1094"/>
      <c r="U1094"/>
      <c r="V1094"/>
      <c r="Z1094"/>
      <c r="AA1094"/>
    </row>
    <row r="1095" spans="7:27" x14ac:dyDescent="0.45">
      <c r="G1095"/>
      <c r="H1095"/>
      <c r="I1095"/>
      <c r="J1095"/>
      <c r="M1095"/>
      <c r="O1095"/>
      <c r="Q1095"/>
      <c r="R1095"/>
      <c r="S1095"/>
      <c r="T1095"/>
      <c r="U1095"/>
      <c r="V1095"/>
      <c r="Z1095"/>
      <c r="AA1095"/>
    </row>
    <row r="1096" spans="7:27" x14ac:dyDescent="0.45">
      <c r="G1096"/>
      <c r="H1096"/>
      <c r="I1096"/>
      <c r="J1096"/>
      <c r="M1096"/>
      <c r="O1096"/>
      <c r="Q1096"/>
      <c r="R1096"/>
      <c r="S1096"/>
      <c r="T1096"/>
      <c r="U1096"/>
      <c r="V1096"/>
      <c r="Z1096"/>
      <c r="AA1096"/>
    </row>
    <row r="1097" spans="7:27" x14ac:dyDescent="0.45">
      <c r="G1097"/>
      <c r="H1097"/>
      <c r="I1097"/>
      <c r="J1097"/>
      <c r="M1097"/>
      <c r="O1097"/>
      <c r="Q1097"/>
      <c r="R1097"/>
      <c r="S1097"/>
      <c r="T1097"/>
      <c r="U1097"/>
      <c r="V1097"/>
      <c r="Z1097"/>
      <c r="AA1097"/>
    </row>
    <row r="1098" spans="7:27" x14ac:dyDescent="0.45">
      <c r="G1098"/>
      <c r="H1098"/>
      <c r="I1098"/>
      <c r="J1098"/>
      <c r="M1098"/>
      <c r="O1098"/>
      <c r="Q1098"/>
      <c r="R1098"/>
      <c r="S1098"/>
      <c r="T1098"/>
      <c r="U1098"/>
      <c r="V1098"/>
      <c r="Z1098"/>
      <c r="AA1098"/>
    </row>
    <row r="1099" spans="7:27" x14ac:dyDescent="0.45">
      <c r="G1099"/>
      <c r="H1099"/>
      <c r="I1099"/>
      <c r="J1099"/>
      <c r="M1099"/>
      <c r="O1099"/>
      <c r="Q1099"/>
      <c r="R1099"/>
      <c r="S1099"/>
      <c r="T1099"/>
      <c r="U1099"/>
      <c r="V1099"/>
      <c r="Z1099"/>
      <c r="AA1099"/>
    </row>
    <row r="1100" spans="7:27" x14ac:dyDescent="0.45">
      <c r="G1100"/>
      <c r="H1100"/>
      <c r="I1100"/>
      <c r="J1100"/>
      <c r="M1100"/>
      <c r="O1100"/>
      <c r="Q1100"/>
      <c r="R1100"/>
      <c r="S1100"/>
      <c r="T1100"/>
      <c r="U1100"/>
      <c r="V1100"/>
      <c r="Z1100"/>
      <c r="AA1100"/>
    </row>
    <row r="1101" spans="7:27" x14ac:dyDescent="0.45">
      <c r="G1101"/>
      <c r="H1101"/>
      <c r="I1101"/>
      <c r="J1101"/>
      <c r="M1101"/>
      <c r="O1101"/>
      <c r="Q1101"/>
      <c r="R1101"/>
      <c r="S1101"/>
      <c r="T1101"/>
      <c r="U1101"/>
      <c r="V1101"/>
      <c r="Z1101"/>
      <c r="AA1101"/>
    </row>
    <row r="1102" spans="7:27" x14ac:dyDescent="0.45">
      <c r="G1102"/>
      <c r="H1102"/>
      <c r="I1102"/>
      <c r="J1102"/>
      <c r="M1102"/>
      <c r="O1102"/>
      <c r="Q1102"/>
      <c r="R1102"/>
      <c r="S1102"/>
      <c r="T1102"/>
      <c r="U1102"/>
      <c r="V1102"/>
      <c r="Z1102"/>
      <c r="AA1102"/>
    </row>
    <row r="1103" spans="7:27" x14ac:dyDescent="0.45">
      <c r="G1103"/>
      <c r="H1103"/>
      <c r="I1103"/>
      <c r="J1103"/>
      <c r="M1103"/>
      <c r="O1103"/>
      <c r="Q1103"/>
      <c r="R1103"/>
      <c r="S1103"/>
      <c r="T1103"/>
      <c r="U1103"/>
      <c r="V1103"/>
      <c r="Z1103"/>
      <c r="AA1103"/>
    </row>
    <row r="1104" spans="7:27" x14ac:dyDescent="0.45">
      <c r="G1104"/>
      <c r="H1104"/>
      <c r="I1104"/>
      <c r="J1104"/>
      <c r="M1104"/>
      <c r="O1104"/>
      <c r="Q1104"/>
      <c r="R1104"/>
      <c r="S1104"/>
      <c r="T1104"/>
      <c r="U1104"/>
      <c r="V1104"/>
      <c r="Z1104"/>
      <c r="AA1104"/>
    </row>
    <row r="1105" spans="7:27" x14ac:dyDescent="0.45">
      <c r="G1105"/>
      <c r="H1105"/>
      <c r="I1105"/>
      <c r="J1105"/>
      <c r="M1105"/>
      <c r="O1105"/>
      <c r="Q1105"/>
      <c r="R1105"/>
      <c r="S1105"/>
      <c r="T1105"/>
      <c r="U1105"/>
      <c r="V1105"/>
      <c r="Z1105"/>
      <c r="AA1105"/>
    </row>
    <row r="1106" spans="7:27" x14ac:dyDescent="0.45">
      <c r="G1106"/>
      <c r="H1106"/>
      <c r="I1106"/>
      <c r="J1106"/>
      <c r="M1106"/>
      <c r="O1106"/>
      <c r="Q1106"/>
      <c r="R1106"/>
      <c r="S1106"/>
      <c r="T1106"/>
      <c r="U1106"/>
      <c r="V1106"/>
      <c r="Z1106"/>
      <c r="AA1106"/>
    </row>
    <row r="1107" spans="7:27" x14ac:dyDescent="0.45">
      <c r="G1107"/>
      <c r="H1107"/>
      <c r="I1107"/>
      <c r="J1107"/>
      <c r="M1107"/>
      <c r="O1107"/>
      <c r="Q1107"/>
      <c r="R1107"/>
      <c r="S1107"/>
      <c r="T1107"/>
      <c r="U1107"/>
      <c r="V1107"/>
      <c r="Z1107"/>
      <c r="AA1107"/>
    </row>
    <row r="1108" spans="7:27" x14ac:dyDescent="0.45">
      <c r="G1108"/>
      <c r="H1108"/>
      <c r="I1108"/>
      <c r="J1108"/>
      <c r="M1108"/>
      <c r="O1108"/>
      <c r="Q1108"/>
      <c r="R1108"/>
      <c r="S1108"/>
      <c r="T1108"/>
      <c r="U1108"/>
      <c r="V1108"/>
      <c r="Z1108"/>
      <c r="AA1108"/>
    </row>
    <row r="1109" spans="7:27" x14ac:dyDescent="0.45">
      <c r="G1109"/>
      <c r="H1109"/>
      <c r="I1109"/>
      <c r="J1109"/>
      <c r="M1109"/>
      <c r="O1109"/>
      <c r="Q1109"/>
      <c r="R1109"/>
      <c r="S1109"/>
      <c r="T1109"/>
      <c r="U1109"/>
      <c r="V1109"/>
      <c r="Z1109"/>
      <c r="AA1109"/>
    </row>
    <row r="1110" spans="7:27" x14ac:dyDescent="0.45">
      <c r="G1110"/>
      <c r="H1110"/>
      <c r="I1110"/>
      <c r="J1110"/>
      <c r="M1110"/>
      <c r="O1110"/>
      <c r="Q1110"/>
      <c r="R1110"/>
      <c r="S1110"/>
      <c r="T1110"/>
      <c r="U1110"/>
      <c r="V1110"/>
      <c r="Z1110"/>
      <c r="AA1110"/>
    </row>
    <row r="1111" spans="7:27" x14ac:dyDescent="0.45">
      <c r="G1111"/>
      <c r="H1111"/>
      <c r="I1111"/>
      <c r="J1111"/>
      <c r="M1111"/>
      <c r="O1111"/>
      <c r="Q1111"/>
      <c r="R1111"/>
      <c r="S1111"/>
      <c r="T1111"/>
      <c r="U1111"/>
      <c r="V1111"/>
      <c r="Z1111"/>
      <c r="AA1111"/>
    </row>
    <row r="1112" spans="7:27" x14ac:dyDescent="0.45">
      <c r="G1112"/>
      <c r="H1112"/>
      <c r="I1112"/>
      <c r="J1112"/>
      <c r="M1112"/>
      <c r="O1112"/>
      <c r="Q1112"/>
      <c r="R1112"/>
      <c r="S1112"/>
      <c r="T1112"/>
      <c r="U1112"/>
      <c r="V1112"/>
      <c r="Z1112"/>
      <c r="AA1112"/>
    </row>
    <row r="1113" spans="7:27" x14ac:dyDescent="0.45">
      <c r="G1113"/>
      <c r="H1113"/>
      <c r="I1113"/>
      <c r="J1113"/>
      <c r="M1113"/>
      <c r="O1113"/>
      <c r="Q1113"/>
      <c r="R1113"/>
      <c r="S1113"/>
      <c r="T1113"/>
      <c r="U1113"/>
      <c r="V1113"/>
      <c r="Z1113"/>
      <c r="AA1113"/>
    </row>
    <row r="1114" spans="7:27" x14ac:dyDescent="0.45">
      <c r="G1114"/>
      <c r="H1114"/>
      <c r="I1114"/>
      <c r="J1114"/>
      <c r="M1114"/>
      <c r="O1114"/>
      <c r="Q1114"/>
      <c r="R1114"/>
      <c r="S1114"/>
      <c r="T1114"/>
      <c r="U1114"/>
      <c r="V1114"/>
      <c r="Z1114"/>
      <c r="AA1114"/>
    </row>
    <row r="1115" spans="7:27" x14ac:dyDescent="0.45">
      <c r="G1115"/>
      <c r="H1115"/>
      <c r="I1115"/>
      <c r="J1115"/>
      <c r="M1115"/>
      <c r="O1115"/>
      <c r="Q1115"/>
      <c r="R1115"/>
      <c r="S1115"/>
      <c r="T1115"/>
      <c r="U1115"/>
      <c r="V1115"/>
      <c r="Z1115"/>
      <c r="AA1115"/>
    </row>
    <row r="1116" spans="7:27" x14ac:dyDescent="0.45">
      <c r="G1116"/>
      <c r="H1116"/>
      <c r="I1116"/>
      <c r="J1116"/>
      <c r="M1116"/>
      <c r="O1116"/>
      <c r="Q1116"/>
      <c r="R1116"/>
      <c r="S1116"/>
      <c r="T1116"/>
      <c r="U1116"/>
      <c r="V1116"/>
      <c r="Z1116"/>
      <c r="AA1116"/>
    </row>
    <row r="1117" spans="7:27" x14ac:dyDescent="0.45">
      <c r="G1117"/>
      <c r="H1117"/>
      <c r="I1117"/>
      <c r="J1117"/>
      <c r="M1117"/>
      <c r="O1117"/>
      <c r="Q1117"/>
      <c r="R1117"/>
      <c r="S1117"/>
      <c r="T1117"/>
      <c r="U1117"/>
      <c r="V1117"/>
      <c r="Z1117"/>
      <c r="AA1117"/>
    </row>
    <row r="1118" spans="7:27" x14ac:dyDescent="0.45">
      <c r="G1118"/>
      <c r="H1118"/>
      <c r="I1118"/>
      <c r="J1118"/>
      <c r="M1118"/>
      <c r="O1118"/>
      <c r="Q1118"/>
      <c r="R1118"/>
      <c r="S1118"/>
      <c r="T1118"/>
      <c r="U1118"/>
      <c r="V1118"/>
      <c r="Z1118"/>
      <c r="AA1118"/>
    </row>
    <row r="1119" spans="7:27" x14ac:dyDescent="0.45">
      <c r="G1119"/>
      <c r="H1119"/>
      <c r="I1119"/>
      <c r="J1119"/>
      <c r="M1119"/>
      <c r="O1119"/>
      <c r="Q1119"/>
      <c r="R1119"/>
      <c r="S1119"/>
      <c r="T1119"/>
      <c r="U1119"/>
      <c r="V1119"/>
      <c r="Z1119"/>
      <c r="AA1119"/>
    </row>
    <row r="1120" spans="7:27" x14ac:dyDescent="0.45">
      <c r="G1120"/>
      <c r="H1120"/>
      <c r="I1120"/>
      <c r="J1120"/>
      <c r="M1120"/>
      <c r="O1120"/>
      <c r="Q1120"/>
      <c r="R1120"/>
      <c r="S1120"/>
      <c r="T1120"/>
      <c r="U1120"/>
      <c r="V1120"/>
      <c r="Z1120"/>
      <c r="AA1120"/>
    </row>
    <row r="1121" spans="7:27" x14ac:dyDescent="0.45">
      <c r="G1121"/>
      <c r="H1121"/>
      <c r="I1121"/>
      <c r="J1121"/>
      <c r="M1121"/>
      <c r="O1121"/>
      <c r="Q1121"/>
      <c r="R1121"/>
      <c r="S1121"/>
      <c r="T1121"/>
      <c r="U1121"/>
      <c r="V1121"/>
      <c r="Z1121"/>
      <c r="AA1121"/>
    </row>
    <row r="1122" spans="7:27" x14ac:dyDescent="0.45">
      <c r="G1122"/>
      <c r="H1122"/>
      <c r="I1122"/>
      <c r="J1122"/>
      <c r="M1122"/>
      <c r="O1122"/>
      <c r="Q1122"/>
      <c r="R1122"/>
      <c r="S1122"/>
      <c r="T1122"/>
      <c r="U1122"/>
      <c r="V1122"/>
      <c r="Z1122"/>
      <c r="AA1122"/>
    </row>
    <row r="1123" spans="7:27" x14ac:dyDescent="0.45">
      <c r="G1123"/>
      <c r="H1123"/>
      <c r="I1123"/>
      <c r="J1123"/>
      <c r="M1123"/>
      <c r="O1123"/>
      <c r="Q1123"/>
      <c r="R1123"/>
      <c r="S1123"/>
      <c r="T1123"/>
      <c r="U1123"/>
      <c r="V1123"/>
      <c r="Z1123"/>
      <c r="AA1123"/>
    </row>
    <row r="1124" spans="7:27" x14ac:dyDescent="0.45">
      <c r="G1124"/>
      <c r="H1124"/>
      <c r="I1124"/>
      <c r="J1124"/>
      <c r="M1124"/>
      <c r="O1124"/>
      <c r="Q1124"/>
      <c r="R1124"/>
      <c r="S1124"/>
      <c r="T1124"/>
      <c r="U1124"/>
      <c r="V1124"/>
      <c r="Z1124"/>
      <c r="AA1124"/>
    </row>
    <row r="1125" spans="7:27" x14ac:dyDescent="0.45">
      <c r="G1125"/>
      <c r="H1125"/>
      <c r="I1125"/>
      <c r="J1125"/>
      <c r="M1125"/>
      <c r="O1125"/>
      <c r="Q1125"/>
      <c r="R1125"/>
      <c r="S1125"/>
      <c r="T1125"/>
      <c r="U1125"/>
      <c r="V1125"/>
      <c r="Z1125"/>
      <c r="AA1125"/>
    </row>
    <row r="1126" spans="7:27" x14ac:dyDescent="0.45">
      <c r="G1126"/>
      <c r="H1126"/>
      <c r="I1126"/>
      <c r="J1126"/>
      <c r="M1126"/>
      <c r="O1126"/>
      <c r="Q1126"/>
      <c r="R1126"/>
      <c r="S1126"/>
      <c r="T1126"/>
      <c r="U1126"/>
      <c r="V1126"/>
      <c r="Z1126"/>
      <c r="AA1126"/>
    </row>
    <row r="1127" spans="7:27" x14ac:dyDescent="0.45">
      <c r="G1127"/>
      <c r="H1127"/>
      <c r="I1127"/>
      <c r="J1127"/>
      <c r="M1127"/>
      <c r="O1127"/>
      <c r="Q1127"/>
      <c r="R1127"/>
      <c r="S1127"/>
      <c r="T1127"/>
      <c r="U1127"/>
      <c r="V1127"/>
      <c r="Z1127"/>
      <c r="AA1127"/>
    </row>
    <row r="1128" spans="7:27" x14ac:dyDescent="0.45">
      <c r="G1128"/>
      <c r="H1128"/>
      <c r="I1128"/>
      <c r="J1128"/>
      <c r="M1128"/>
      <c r="O1128"/>
      <c r="Q1128"/>
      <c r="R1128"/>
      <c r="S1128"/>
      <c r="T1128"/>
      <c r="U1128"/>
      <c r="V1128"/>
      <c r="Z1128"/>
      <c r="AA1128"/>
    </row>
    <row r="1129" spans="7:27" x14ac:dyDescent="0.45">
      <c r="G1129"/>
      <c r="H1129"/>
      <c r="I1129"/>
      <c r="J1129"/>
      <c r="M1129"/>
      <c r="O1129"/>
      <c r="Q1129"/>
      <c r="R1129"/>
      <c r="S1129"/>
      <c r="T1129"/>
      <c r="U1129"/>
      <c r="V1129"/>
      <c r="Z1129"/>
      <c r="AA1129"/>
    </row>
    <row r="1130" spans="7:27" x14ac:dyDescent="0.45">
      <c r="G1130"/>
      <c r="H1130"/>
      <c r="I1130"/>
      <c r="J1130"/>
      <c r="M1130"/>
      <c r="O1130"/>
      <c r="Q1130"/>
      <c r="R1130"/>
      <c r="S1130"/>
      <c r="T1130"/>
      <c r="U1130"/>
      <c r="V1130"/>
      <c r="Z1130"/>
      <c r="AA1130"/>
    </row>
    <row r="1131" spans="7:27" x14ac:dyDescent="0.45">
      <c r="G1131"/>
      <c r="H1131"/>
      <c r="I1131"/>
      <c r="J1131"/>
      <c r="M1131"/>
      <c r="O1131"/>
      <c r="Q1131"/>
      <c r="R1131"/>
      <c r="S1131"/>
      <c r="T1131"/>
      <c r="U1131"/>
      <c r="V1131"/>
      <c r="Z1131"/>
      <c r="AA1131"/>
    </row>
    <row r="1132" spans="7:27" x14ac:dyDescent="0.45">
      <c r="G1132"/>
      <c r="H1132"/>
      <c r="I1132"/>
      <c r="J1132"/>
      <c r="M1132"/>
      <c r="O1132"/>
      <c r="Q1132"/>
      <c r="R1132"/>
      <c r="S1132"/>
      <c r="T1132"/>
      <c r="U1132"/>
      <c r="V1132"/>
      <c r="Z1132"/>
      <c r="AA1132"/>
    </row>
    <row r="1133" spans="7:27" x14ac:dyDescent="0.45">
      <c r="G1133"/>
      <c r="H1133"/>
      <c r="I1133"/>
      <c r="J1133"/>
      <c r="M1133"/>
      <c r="O1133"/>
      <c r="Q1133"/>
      <c r="R1133"/>
      <c r="S1133"/>
      <c r="T1133"/>
      <c r="U1133"/>
      <c r="V1133"/>
      <c r="Z1133"/>
      <c r="AA1133"/>
    </row>
    <row r="1134" spans="7:27" x14ac:dyDescent="0.45">
      <c r="G1134"/>
      <c r="H1134"/>
      <c r="I1134"/>
      <c r="J1134"/>
      <c r="M1134"/>
      <c r="O1134"/>
      <c r="Q1134"/>
      <c r="R1134"/>
      <c r="S1134"/>
      <c r="T1134"/>
      <c r="U1134"/>
      <c r="V1134"/>
      <c r="Z1134"/>
      <c r="AA1134"/>
    </row>
    <row r="1135" spans="7:27" x14ac:dyDescent="0.45">
      <c r="G1135"/>
      <c r="H1135"/>
      <c r="I1135"/>
      <c r="J1135"/>
      <c r="M1135"/>
      <c r="O1135"/>
      <c r="Q1135"/>
      <c r="R1135"/>
      <c r="S1135"/>
      <c r="T1135"/>
      <c r="U1135"/>
      <c r="V1135"/>
      <c r="Z1135"/>
      <c r="AA1135"/>
    </row>
    <row r="1136" spans="7:27" x14ac:dyDescent="0.45">
      <c r="G1136"/>
      <c r="H1136"/>
      <c r="I1136"/>
      <c r="J1136"/>
      <c r="M1136"/>
      <c r="O1136"/>
      <c r="Q1136"/>
      <c r="R1136"/>
      <c r="S1136"/>
      <c r="T1136"/>
      <c r="U1136"/>
      <c r="V1136"/>
      <c r="Z1136"/>
      <c r="AA1136"/>
    </row>
    <row r="1137" spans="7:27" x14ac:dyDescent="0.45">
      <c r="G1137"/>
      <c r="H1137"/>
      <c r="I1137"/>
      <c r="J1137"/>
      <c r="M1137"/>
      <c r="O1137"/>
      <c r="Q1137"/>
      <c r="R1137"/>
      <c r="S1137"/>
      <c r="T1137"/>
      <c r="U1137"/>
      <c r="V1137"/>
      <c r="Z1137"/>
      <c r="AA1137"/>
    </row>
    <row r="1138" spans="7:27" x14ac:dyDescent="0.45">
      <c r="G1138"/>
      <c r="H1138"/>
      <c r="I1138"/>
      <c r="J1138"/>
      <c r="M1138"/>
      <c r="O1138"/>
      <c r="Q1138"/>
      <c r="R1138"/>
      <c r="S1138"/>
      <c r="T1138"/>
      <c r="U1138"/>
      <c r="V1138"/>
      <c r="Z1138"/>
      <c r="AA1138"/>
    </row>
    <row r="1139" spans="7:27" x14ac:dyDescent="0.45">
      <c r="G1139"/>
      <c r="H1139"/>
      <c r="I1139"/>
      <c r="J1139"/>
      <c r="M1139"/>
      <c r="O1139"/>
      <c r="Q1139"/>
      <c r="R1139"/>
      <c r="S1139"/>
      <c r="T1139"/>
      <c r="U1139"/>
      <c r="V1139"/>
      <c r="Z1139"/>
      <c r="AA1139"/>
    </row>
    <row r="1140" spans="7:27" x14ac:dyDescent="0.45">
      <c r="G1140"/>
      <c r="H1140"/>
      <c r="I1140"/>
      <c r="J1140"/>
      <c r="M1140"/>
      <c r="O1140"/>
      <c r="Q1140"/>
      <c r="R1140"/>
      <c r="S1140"/>
      <c r="T1140"/>
      <c r="U1140"/>
      <c r="V1140"/>
      <c r="Z1140"/>
      <c r="AA1140"/>
    </row>
    <row r="1141" spans="7:27" x14ac:dyDescent="0.45">
      <c r="G1141"/>
      <c r="H1141"/>
      <c r="I1141"/>
      <c r="J1141"/>
      <c r="M1141"/>
      <c r="O1141"/>
      <c r="Q1141"/>
      <c r="R1141"/>
      <c r="S1141"/>
      <c r="T1141"/>
      <c r="U1141"/>
      <c r="V1141"/>
      <c r="Z1141"/>
      <c r="AA1141"/>
    </row>
    <row r="1142" spans="7:27" x14ac:dyDescent="0.45">
      <c r="G1142"/>
      <c r="H1142"/>
      <c r="I1142"/>
      <c r="J1142"/>
      <c r="M1142"/>
      <c r="O1142"/>
      <c r="Q1142"/>
      <c r="R1142"/>
      <c r="S1142"/>
      <c r="T1142"/>
      <c r="U1142"/>
      <c r="V1142"/>
      <c r="Z1142"/>
      <c r="AA1142"/>
    </row>
    <row r="1143" spans="7:27" x14ac:dyDescent="0.45">
      <c r="G1143"/>
      <c r="H1143"/>
      <c r="I1143"/>
      <c r="J1143"/>
      <c r="M1143"/>
      <c r="O1143"/>
      <c r="Q1143"/>
      <c r="R1143"/>
      <c r="S1143"/>
      <c r="T1143"/>
      <c r="U1143"/>
      <c r="V1143"/>
      <c r="Z1143"/>
      <c r="AA1143"/>
    </row>
    <row r="1144" spans="7:27" x14ac:dyDescent="0.45">
      <c r="G1144"/>
      <c r="H1144"/>
      <c r="I1144"/>
      <c r="J1144"/>
      <c r="M1144"/>
      <c r="O1144"/>
      <c r="Q1144"/>
      <c r="R1144"/>
      <c r="S1144"/>
      <c r="T1144"/>
      <c r="U1144"/>
      <c r="V1144"/>
      <c r="Z1144"/>
      <c r="AA1144"/>
    </row>
    <row r="1145" spans="7:27" x14ac:dyDescent="0.45">
      <c r="G1145"/>
      <c r="H1145"/>
      <c r="I1145"/>
      <c r="J1145"/>
      <c r="M1145"/>
      <c r="O1145"/>
      <c r="Q1145"/>
      <c r="R1145"/>
      <c r="S1145"/>
      <c r="T1145"/>
      <c r="U1145"/>
      <c r="V1145"/>
      <c r="Z1145"/>
      <c r="AA1145"/>
    </row>
    <row r="1146" spans="7:27" x14ac:dyDescent="0.45">
      <c r="G1146"/>
      <c r="H1146"/>
      <c r="I1146"/>
      <c r="J1146"/>
      <c r="M1146"/>
      <c r="O1146"/>
      <c r="Q1146"/>
      <c r="R1146"/>
      <c r="S1146"/>
      <c r="T1146"/>
      <c r="U1146"/>
      <c r="V1146"/>
      <c r="Z1146"/>
      <c r="AA1146"/>
    </row>
    <row r="1147" spans="7:27" x14ac:dyDescent="0.45">
      <c r="G1147"/>
      <c r="H1147"/>
      <c r="I1147"/>
      <c r="J1147"/>
      <c r="M1147"/>
      <c r="O1147"/>
      <c r="Q1147"/>
      <c r="R1147"/>
      <c r="S1147"/>
      <c r="T1147"/>
      <c r="U1147"/>
      <c r="V1147"/>
      <c r="Z1147"/>
      <c r="AA1147"/>
    </row>
    <row r="1148" spans="7:27" x14ac:dyDescent="0.45">
      <c r="G1148"/>
      <c r="H1148"/>
      <c r="I1148"/>
      <c r="J1148"/>
      <c r="M1148"/>
      <c r="O1148"/>
      <c r="Q1148"/>
      <c r="R1148"/>
      <c r="S1148"/>
      <c r="T1148"/>
      <c r="U1148"/>
      <c r="V1148"/>
      <c r="Z1148"/>
      <c r="AA1148"/>
    </row>
    <row r="1149" spans="7:27" x14ac:dyDescent="0.45">
      <c r="G1149"/>
      <c r="H1149"/>
      <c r="I1149"/>
      <c r="J1149"/>
      <c r="M1149"/>
      <c r="O1149"/>
      <c r="Q1149"/>
      <c r="R1149"/>
      <c r="S1149"/>
      <c r="T1149"/>
      <c r="U1149"/>
      <c r="V1149"/>
      <c r="Z1149"/>
      <c r="AA1149"/>
    </row>
    <row r="1150" spans="7:27" x14ac:dyDescent="0.45">
      <c r="G1150"/>
      <c r="H1150"/>
      <c r="I1150"/>
      <c r="J1150"/>
      <c r="M1150"/>
      <c r="O1150"/>
      <c r="Q1150"/>
      <c r="R1150"/>
      <c r="S1150"/>
      <c r="T1150"/>
      <c r="U1150"/>
      <c r="V1150"/>
      <c r="Z1150"/>
      <c r="AA1150"/>
    </row>
    <row r="1151" spans="7:27" x14ac:dyDescent="0.45">
      <c r="G1151"/>
      <c r="H1151"/>
      <c r="I1151"/>
      <c r="J1151"/>
      <c r="M1151"/>
      <c r="O1151"/>
      <c r="Q1151"/>
      <c r="R1151"/>
      <c r="S1151"/>
      <c r="T1151"/>
      <c r="U1151"/>
      <c r="V1151"/>
      <c r="Z1151"/>
      <c r="AA1151"/>
    </row>
    <row r="1152" spans="7:27" x14ac:dyDescent="0.45">
      <c r="G1152"/>
      <c r="H1152"/>
      <c r="I1152"/>
      <c r="J1152"/>
      <c r="M1152"/>
      <c r="O1152"/>
      <c r="Q1152"/>
      <c r="R1152"/>
      <c r="S1152"/>
      <c r="T1152"/>
      <c r="U1152"/>
      <c r="V1152"/>
      <c r="Z1152"/>
      <c r="AA1152"/>
    </row>
    <row r="1153" spans="7:27" x14ac:dyDescent="0.45">
      <c r="G1153"/>
      <c r="H1153"/>
      <c r="I1153"/>
      <c r="J1153"/>
      <c r="M1153"/>
      <c r="O1153"/>
      <c r="Q1153"/>
      <c r="R1153"/>
      <c r="S1153"/>
      <c r="T1153"/>
      <c r="U1153"/>
      <c r="V1153"/>
      <c r="Z1153"/>
      <c r="AA1153"/>
    </row>
    <row r="1154" spans="7:27" x14ac:dyDescent="0.45">
      <c r="G1154"/>
      <c r="H1154"/>
      <c r="I1154"/>
      <c r="J1154"/>
      <c r="M1154"/>
      <c r="O1154"/>
      <c r="Q1154"/>
      <c r="R1154"/>
      <c r="S1154"/>
      <c r="T1154"/>
      <c r="U1154"/>
      <c r="V1154"/>
      <c r="Z1154"/>
      <c r="AA1154"/>
    </row>
    <row r="1155" spans="7:27" x14ac:dyDescent="0.45">
      <c r="G1155"/>
      <c r="H1155"/>
      <c r="I1155"/>
      <c r="J1155"/>
      <c r="M1155"/>
      <c r="O1155"/>
      <c r="Q1155"/>
      <c r="R1155"/>
      <c r="S1155"/>
      <c r="T1155"/>
      <c r="U1155"/>
      <c r="V1155"/>
      <c r="Z1155"/>
      <c r="AA1155"/>
    </row>
    <row r="1156" spans="7:27" x14ac:dyDescent="0.45">
      <c r="G1156"/>
      <c r="H1156"/>
      <c r="I1156"/>
      <c r="J1156"/>
      <c r="M1156"/>
      <c r="O1156"/>
      <c r="Q1156"/>
      <c r="R1156"/>
      <c r="S1156"/>
      <c r="T1156"/>
      <c r="U1156"/>
      <c r="V1156"/>
      <c r="Z1156"/>
      <c r="AA1156"/>
    </row>
    <row r="1157" spans="7:27" x14ac:dyDescent="0.45">
      <c r="G1157"/>
      <c r="H1157"/>
      <c r="I1157"/>
      <c r="J1157"/>
      <c r="M1157"/>
      <c r="O1157"/>
      <c r="Q1157"/>
      <c r="R1157"/>
      <c r="S1157"/>
      <c r="T1157"/>
      <c r="U1157"/>
      <c r="V1157"/>
      <c r="Z1157"/>
      <c r="AA1157"/>
    </row>
    <row r="1158" spans="7:27" x14ac:dyDescent="0.45">
      <c r="G1158"/>
      <c r="H1158"/>
      <c r="I1158"/>
      <c r="J1158"/>
      <c r="M1158"/>
      <c r="O1158"/>
      <c r="Q1158"/>
      <c r="R1158"/>
      <c r="S1158"/>
      <c r="T1158"/>
      <c r="U1158"/>
      <c r="V1158"/>
      <c r="Z1158"/>
      <c r="AA1158"/>
    </row>
    <row r="1159" spans="7:27" x14ac:dyDescent="0.45">
      <c r="G1159"/>
      <c r="H1159"/>
      <c r="I1159"/>
      <c r="J1159"/>
      <c r="M1159"/>
      <c r="O1159"/>
      <c r="Q1159"/>
      <c r="R1159"/>
      <c r="S1159"/>
      <c r="T1159"/>
      <c r="U1159"/>
      <c r="V1159"/>
      <c r="Z1159"/>
      <c r="AA1159"/>
    </row>
    <row r="1160" spans="7:27" x14ac:dyDescent="0.45">
      <c r="G1160"/>
      <c r="H1160"/>
      <c r="I1160"/>
      <c r="J1160"/>
      <c r="M1160"/>
      <c r="O1160"/>
      <c r="Q1160"/>
      <c r="R1160"/>
      <c r="S1160"/>
      <c r="T1160"/>
      <c r="U1160"/>
      <c r="V1160"/>
      <c r="Z1160"/>
      <c r="AA1160"/>
    </row>
    <row r="1161" spans="7:27" x14ac:dyDescent="0.45">
      <c r="G1161"/>
      <c r="H1161"/>
      <c r="I1161"/>
      <c r="J1161"/>
      <c r="M1161"/>
      <c r="O1161"/>
      <c r="Q1161"/>
      <c r="R1161"/>
      <c r="S1161"/>
      <c r="T1161"/>
      <c r="U1161"/>
      <c r="V1161"/>
      <c r="Z1161"/>
      <c r="AA1161"/>
    </row>
    <row r="1162" spans="7:27" x14ac:dyDescent="0.45">
      <c r="G1162"/>
      <c r="H1162"/>
      <c r="I1162"/>
      <c r="J1162"/>
      <c r="M1162"/>
      <c r="O1162"/>
      <c r="Q1162"/>
      <c r="R1162"/>
      <c r="S1162"/>
      <c r="T1162"/>
      <c r="U1162"/>
      <c r="V1162"/>
      <c r="Z1162"/>
      <c r="AA1162"/>
    </row>
    <row r="1163" spans="7:27" x14ac:dyDescent="0.45">
      <c r="G1163"/>
      <c r="H1163"/>
      <c r="I1163"/>
      <c r="J1163"/>
      <c r="M1163"/>
      <c r="O1163"/>
      <c r="Q1163"/>
      <c r="R1163"/>
      <c r="S1163"/>
      <c r="T1163"/>
      <c r="U1163"/>
      <c r="V1163"/>
      <c r="Z1163"/>
      <c r="AA1163"/>
    </row>
    <row r="1164" spans="7:27" x14ac:dyDescent="0.45">
      <c r="G1164"/>
      <c r="H1164"/>
      <c r="I1164"/>
      <c r="J1164"/>
      <c r="M1164"/>
      <c r="O1164"/>
      <c r="Q1164"/>
      <c r="R1164"/>
      <c r="S1164"/>
      <c r="T1164"/>
      <c r="U1164"/>
      <c r="V1164"/>
      <c r="Z1164"/>
      <c r="AA1164"/>
    </row>
    <row r="1165" spans="7:27" x14ac:dyDescent="0.45">
      <c r="G1165"/>
      <c r="H1165"/>
      <c r="I1165"/>
      <c r="J1165"/>
      <c r="M1165"/>
      <c r="O1165"/>
      <c r="Q1165"/>
      <c r="R1165"/>
      <c r="S1165"/>
      <c r="T1165"/>
      <c r="U1165"/>
      <c r="V1165"/>
      <c r="Z1165"/>
      <c r="AA1165"/>
    </row>
    <row r="1166" spans="7:27" x14ac:dyDescent="0.45">
      <c r="G1166"/>
      <c r="H1166"/>
      <c r="I1166"/>
      <c r="J1166"/>
      <c r="M1166"/>
      <c r="O1166"/>
      <c r="Q1166"/>
      <c r="R1166"/>
      <c r="S1166"/>
      <c r="T1166"/>
      <c r="U1166"/>
      <c r="V1166"/>
      <c r="Z1166"/>
      <c r="AA1166"/>
    </row>
    <row r="1167" spans="7:27" x14ac:dyDescent="0.45">
      <c r="G1167"/>
      <c r="H1167"/>
      <c r="I1167"/>
      <c r="J1167"/>
      <c r="M1167"/>
      <c r="O1167"/>
      <c r="Q1167"/>
      <c r="R1167"/>
      <c r="S1167"/>
      <c r="T1167"/>
      <c r="U1167"/>
      <c r="V1167"/>
      <c r="Z1167"/>
      <c r="AA1167"/>
    </row>
    <row r="1168" spans="7:27" x14ac:dyDescent="0.45">
      <c r="G1168"/>
      <c r="H1168"/>
      <c r="I1168"/>
      <c r="J1168"/>
      <c r="M1168"/>
      <c r="O1168"/>
      <c r="Q1168"/>
      <c r="R1168"/>
      <c r="S1168"/>
      <c r="T1168"/>
      <c r="U1168"/>
      <c r="V1168"/>
      <c r="Z1168"/>
      <c r="AA1168"/>
    </row>
    <row r="1169" spans="7:27" x14ac:dyDescent="0.45">
      <c r="G1169"/>
      <c r="H1169"/>
      <c r="I1169"/>
      <c r="J1169"/>
      <c r="M1169"/>
      <c r="O1169"/>
      <c r="Q1169"/>
      <c r="R1169"/>
      <c r="S1169"/>
      <c r="T1169"/>
      <c r="U1169"/>
      <c r="V1169"/>
      <c r="Z1169"/>
      <c r="AA1169"/>
    </row>
    <row r="1170" spans="7:27" x14ac:dyDescent="0.45">
      <c r="G1170"/>
      <c r="H1170"/>
      <c r="I1170"/>
      <c r="J1170"/>
      <c r="M1170"/>
      <c r="O1170"/>
      <c r="Q1170"/>
      <c r="R1170"/>
      <c r="S1170"/>
      <c r="T1170"/>
      <c r="U1170"/>
      <c r="V1170"/>
      <c r="Z1170"/>
      <c r="AA1170"/>
    </row>
    <row r="1171" spans="7:27" x14ac:dyDescent="0.45">
      <c r="G1171"/>
      <c r="H1171"/>
      <c r="I1171"/>
      <c r="J1171"/>
      <c r="M1171"/>
      <c r="O1171"/>
      <c r="Q1171"/>
      <c r="R1171"/>
      <c r="S1171"/>
      <c r="T1171"/>
      <c r="U1171"/>
      <c r="V1171"/>
      <c r="Z1171"/>
      <c r="AA1171"/>
    </row>
    <row r="1172" spans="7:27" x14ac:dyDescent="0.45">
      <c r="G1172"/>
      <c r="H1172"/>
      <c r="I1172"/>
      <c r="J1172"/>
      <c r="M1172"/>
      <c r="O1172"/>
      <c r="Q1172"/>
      <c r="R1172"/>
      <c r="S1172"/>
      <c r="T1172"/>
      <c r="U1172"/>
      <c r="V1172"/>
      <c r="Z1172"/>
      <c r="AA1172"/>
    </row>
    <row r="1173" spans="7:27" x14ac:dyDescent="0.45">
      <c r="G1173"/>
      <c r="H1173"/>
      <c r="I1173"/>
      <c r="J1173"/>
      <c r="M1173"/>
      <c r="O1173"/>
      <c r="Q1173"/>
      <c r="R1173"/>
      <c r="S1173"/>
      <c r="T1173"/>
      <c r="U1173"/>
      <c r="V1173"/>
      <c r="Z1173"/>
      <c r="AA1173"/>
    </row>
    <row r="1174" spans="7:27" x14ac:dyDescent="0.45">
      <c r="G1174"/>
      <c r="H1174"/>
      <c r="I1174"/>
      <c r="J1174"/>
      <c r="M1174"/>
      <c r="O1174"/>
      <c r="Q1174"/>
      <c r="R1174"/>
      <c r="S1174"/>
      <c r="T1174"/>
      <c r="U1174"/>
      <c r="V1174"/>
      <c r="Z1174"/>
      <c r="AA1174"/>
    </row>
    <row r="1175" spans="7:27" x14ac:dyDescent="0.45">
      <c r="G1175"/>
      <c r="H1175"/>
      <c r="I1175"/>
      <c r="J1175"/>
      <c r="M1175"/>
      <c r="O1175"/>
      <c r="Q1175"/>
      <c r="R1175"/>
      <c r="S1175"/>
      <c r="T1175"/>
      <c r="U1175"/>
      <c r="V1175"/>
      <c r="Z1175"/>
      <c r="AA1175"/>
    </row>
    <row r="1176" spans="7:27" x14ac:dyDescent="0.45">
      <c r="G1176"/>
      <c r="H1176"/>
      <c r="I1176"/>
      <c r="J1176"/>
      <c r="M1176"/>
      <c r="O1176"/>
      <c r="Q1176"/>
      <c r="R1176"/>
      <c r="S1176"/>
      <c r="T1176"/>
      <c r="U1176"/>
      <c r="V1176"/>
      <c r="Z1176"/>
      <c r="AA1176"/>
    </row>
    <row r="1177" spans="7:27" x14ac:dyDescent="0.45">
      <c r="G1177"/>
      <c r="H1177"/>
      <c r="I1177"/>
      <c r="J1177"/>
      <c r="M1177"/>
      <c r="O1177"/>
      <c r="Q1177"/>
      <c r="R1177"/>
      <c r="S1177"/>
      <c r="T1177"/>
      <c r="U1177"/>
      <c r="V1177"/>
      <c r="Z1177"/>
      <c r="AA1177"/>
    </row>
    <row r="1178" spans="7:27" x14ac:dyDescent="0.45">
      <c r="G1178"/>
      <c r="H1178"/>
      <c r="I1178"/>
      <c r="J1178"/>
      <c r="M1178"/>
      <c r="O1178"/>
      <c r="Q1178"/>
      <c r="R1178"/>
      <c r="S1178"/>
      <c r="T1178"/>
      <c r="U1178"/>
      <c r="V1178"/>
      <c r="Z1178"/>
      <c r="AA1178"/>
    </row>
    <row r="1179" spans="7:27" x14ac:dyDescent="0.45">
      <c r="G1179"/>
      <c r="H1179"/>
      <c r="I1179"/>
      <c r="J1179"/>
      <c r="M1179"/>
      <c r="O1179"/>
      <c r="Q1179"/>
      <c r="R1179"/>
      <c r="S1179"/>
      <c r="T1179"/>
      <c r="U1179"/>
      <c r="V1179"/>
      <c r="Z1179"/>
      <c r="AA1179"/>
    </row>
    <row r="1180" spans="7:27" x14ac:dyDescent="0.45">
      <c r="G1180"/>
      <c r="H1180"/>
      <c r="I1180"/>
      <c r="J1180"/>
      <c r="M1180"/>
      <c r="O1180"/>
      <c r="Q1180"/>
      <c r="R1180"/>
      <c r="S1180"/>
      <c r="T1180"/>
      <c r="U1180"/>
      <c r="V1180"/>
      <c r="Z1180"/>
      <c r="AA1180"/>
    </row>
    <row r="1181" spans="7:27" x14ac:dyDescent="0.45">
      <c r="G1181"/>
      <c r="H1181"/>
      <c r="I1181"/>
      <c r="J1181"/>
      <c r="M1181"/>
      <c r="O1181"/>
      <c r="Q1181"/>
      <c r="R1181"/>
      <c r="S1181"/>
      <c r="T1181"/>
      <c r="U1181"/>
      <c r="V1181"/>
      <c r="Z1181"/>
      <c r="AA1181"/>
    </row>
    <row r="1182" spans="7:27" x14ac:dyDescent="0.45">
      <c r="G1182"/>
      <c r="H1182"/>
      <c r="I1182"/>
      <c r="J1182"/>
      <c r="M1182"/>
      <c r="O1182"/>
      <c r="Q1182"/>
      <c r="R1182"/>
      <c r="S1182"/>
      <c r="T1182"/>
      <c r="U1182"/>
      <c r="V1182"/>
      <c r="Z1182"/>
      <c r="AA1182"/>
    </row>
    <row r="1183" spans="7:27" x14ac:dyDescent="0.45">
      <c r="G1183"/>
      <c r="H1183"/>
      <c r="I1183"/>
      <c r="J1183"/>
      <c r="M1183"/>
      <c r="O1183"/>
      <c r="Q1183"/>
      <c r="R1183"/>
      <c r="S1183"/>
      <c r="T1183"/>
      <c r="U1183"/>
      <c r="V1183"/>
      <c r="Z1183"/>
      <c r="AA1183"/>
    </row>
    <row r="1184" spans="7:27" x14ac:dyDescent="0.45">
      <c r="G1184"/>
      <c r="H1184"/>
      <c r="I1184"/>
      <c r="J1184"/>
      <c r="M1184"/>
      <c r="O1184"/>
      <c r="Q1184"/>
      <c r="R1184"/>
      <c r="S1184"/>
      <c r="T1184"/>
      <c r="U1184"/>
      <c r="V1184"/>
      <c r="Z1184"/>
      <c r="AA1184"/>
    </row>
    <row r="1185" spans="7:27" x14ac:dyDescent="0.45">
      <c r="G1185"/>
      <c r="H1185"/>
      <c r="I1185"/>
      <c r="J1185"/>
      <c r="M1185"/>
      <c r="O1185"/>
      <c r="Q1185"/>
      <c r="R1185"/>
      <c r="S1185"/>
      <c r="T1185"/>
      <c r="U1185"/>
      <c r="V1185"/>
      <c r="Z1185"/>
      <c r="AA1185"/>
    </row>
    <row r="1186" spans="7:27" x14ac:dyDescent="0.45">
      <c r="G1186"/>
      <c r="H1186"/>
      <c r="I1186"/>
      <c r="J1186"/>
      <c r="M1186"/>
      <c r="O1186"/>
      <c r="Q1186"/>
      <c r="R1186"/>
      <c r="S1186"/>
      <c r="T1186"/>
      <c r="U1186"/>
      <c r="V1186"/>
      <c r="Z1186"/>
      <c r="AA1186"/>
    </row>
    <row r="1187" spans="7:27" x14ac:dyDescent="0.45">
      <c r="G1187"/>
      <c r="H1187"/>
      <c r="I1187"/>
      <c r="J1187"/>
      <c r="M1187"/>
      <c r="O1187"/>
      <c r="Q1187"/>
      <c r="R1187"/>
      <c r="S1187"/>
      <c r="T1187"/>
      <c r="U1187"/>
      <c r="V1187"/>
      <c r="Z1187"/>
      <c r="AA1187"/>
    </row>
    <row r="1188" spans="7:27" x14ac:dyDescent="0.45">
      <c r="G1188"/>
      <c r="H1188"/>
      <c r="I1188"/>
      <c r="J1188"/>
      <c r="M1188"/>
      <c r="O1188"/>
      <c r="Q1188"/>
      <c r="R1188"/>
      <c r="S1188"/>
      <c r="T1188"/>
      <c r="U1188"/>
      <c r="V1188"/>
      <c r="Z1188"/>
      <c r="AA1188"/>
    </row>
    <row r="1189" spans="7:27" x14ac:dyDescent="0.45">
      <c r="G1189"/>
      <c r="H1189"/>
      <c r="I1189"/>
      <c r="J1189"/>
      <c r="M1189"/>
      <c r="O1189"/>
      <c r="Q1189"/>
      <c r="R1189"/>
      <c r="S1189"/>
      <c r="T1189"/>
      <c r="U1189"/>
      <c r="V1189"/>
      <c r="Z1189"/>
      <c r="AA1189"/>
    </row>
    <row r="1190" spans="7:27" x14ac:dyDescent="0.45">
      <c r="G1190"/>
      <c r="H1190"/>
      <c r="I1190"/>
      <c r="J1190"/>
      <c r="M1190"/>
      <c r="O1190"/>
      <c r="Q1190"/>
      <c r="R1190"/>
      <c r="S1190"/>
      <c r="T1190"/>
      <c r="U1190"/>
      <c r="V1190"/>
      <c r="Z1190"/>
      <c r="AA1190"/>
    </row>
    <row r="1191" spans="7:27" x14ac:dyDescent="0.45">
      <c r="G1191"/>
      <c r="H1191"/>
      <c r="I1191"/>
      <c r="J1191"/>
      <c r="M1191"/>
      <c r="O1191"/>
      <c r="Q1191"/>
      <c r="R1191"/>
      <c r="S1191"/>
      <c r="T1191"/>
      <c r="U1191"/>
      <c r="V1191"/>
      <c r="Z1191"/>
      <c r="AA1191"/>
    </row>
    <row r="1192" spans="7:27" x14ac:dyDescent="0.45">
      <c r="G1192"/>
      <c r="H1192"/>
      <c r="I1192"/>
      <c r="J1192"/>
      <c r="M1192"/>
      <c r="O1192"/>
      <c r="Q1192"/>
      <c r="R1192"/>
      <c r="S1192"/>
      <c r="T1192"/>
      <c r="U1192"/>
      <c r="V1192"/>
      <c r="Z1192"/>
      <c r="AA1192"/>
    </row>
    <row r="1193" spans="7:27" x14ac:dyDescent="0.45">
      <c r="G1193"/>
      <c r="H1193"/>
      <c r="I1193"/>
      <c r="J1193"/>
      <c r="M1193"/>
      <c r="O1193"/>
      <c r="Q1193"/>
      <c r="R1193"/>
      <c r="S1193"/>
      <c r="T1193"/>
      <c r="U1193"/>
      <c r="V1193"/>
      <c r="Z1193"/>
      <c r="AA1193"/>
    </row>
    <row r="1194" spans="7:27" x14ac:dyDescent="0.45">
      <c r="G1194"/>
      <c r="H1194"/>
      <c r="I1194"/>
      <c r="J1194"/>
      <c r="M1194"/>
      <c r="O1194"/>
      <c r="Q1194"/>
      <c r="R1194"/>
      <c r="S1194"/>
      <c r="T1194"/>
      <c r="U1194"/>
      <c r="V1194"/>
      <c r="Z1194"/>
      <c r="AA1194"/>
    </row>
    <row r="1195" spans="7:27" x14ac:dyDescent="0.45">
      <c r="G1195"/>
      <c r="H1195"/>
      <c r="I1195"/>
      <c r="J1195"/>
      <c r="M1195"/>
      <c r="O1195"/>
      <c r="Q1195"/>
      <c r="R1195"/>
      <c r="S1195"/>
      <c r="T1195"/>
      <c r="U1195"/>
      <c r="V1195"/>
      <c r="Z1195"/>
      <c r="AA1195"/>
    </row>
    <row r="1196" spans="7:27" x14ac:dyDescent="0.45">
      <c r="G1196"/>
      <c r="H1196"/>
      <c r="I1196"/>
      <c r="J1196"/>
      <c r="M1196"/>
      <c r="O1196"/>
      <c r="Q1196"/>
      <c r="R1196"/>
      <c r="S1196"/>
      <c r="T1196"/>
      <c r="U1196"/>
      <c r="V1196"/>
      <c r="Z1196"/>
      <c r="AA1196"/>
    </row>
    <row r="1197" spans="7:27" x14ac:dyDescent="0.45">
      <c r="G1197"/>
      <c r="H1197"/>
      <c r="I1197"/>
      <c r="J1197"/>
      <c r="M1197"/>
      <c r="O1197"/>
      <c r="Q1197"/>
      <c r="R1197"/>
      <c r="S1197"/>
      <c r="T1197"/>
      <c r="U1197"/>
      <c r="V1197"/>
      <c r="Z1197"/>
      <c r="AA1197"/>
    </row>
    <row r="1198" spans="7:27" x14ac:dyDescent="0.45">
      <c r="G1198"/>
      <c r="H1198"/>
      <c r="I1198"/>
      <c r="J1198"/>
      <c r="M1198"/>
      <c r="O1198"/>
      <c r="Q1198"/>
      <c r="R1198"/>
      <c r="S1198"/>
      <c r="T1198"/>
      <c r="U1198"/>
      <c r="V1198"/>
      <c r="Z1198"/>
      <c r="AA1198"/>
    </row>
    <row r="1199" spans="7:27" x14ac:dyDescent="0.45">
      <c r="G1199"/>
      <c r="H1199"/>
      <c r="I1199"/>
      <c r="J1199"/>
      <c r="M1199"/>
      <c r="O1199"/>
      <c r="Q1199"/>
      <c r="R1199"/>
      <c r="S1199"/>
      <c r="T1199"/>
      <c r="U1199"/>
      <c r="V1199"/>
      <c r="Z1199"/>
      <c r="AA1199"/>
    </row>
    <row r="1200" spans="7:27" x14ac:dyDescent="0.45">
      <c r="G1200"/>
      <c r="H1200"/>
      <c r="I1200"/>
      <c r="J1200"/>
      <c r="M1200"/>
      <c r="O1200"/>
      <c r="Q1200"/>
      <c r="R1200"/>
      <c r="S1200"/>
      <c r="T1200"/>
      <c r="U1200"/>
      <c r="V1200"/>
      <c r="Z1200"/>
      <c r="AA1200"/>
    </row>
    <row r="1201" spans="7:27" x14ac:dyDescent="0.45">
      <c r="G1201"/>
      <c r="H1201"/>
      <c r="I1201"/>
      <c r="J1201"/>
      <c r="M1201"/>
      <c r="O1201"/>
      <c r="Q1201"/>
      <c r="R1201"/>
      <c r="S1201"/>
      <c r="T1201"/>
      <c r="U1201"/>
      <c r="V1201"/>
      <c r="Z1201"/>
      <c r="AA1201"/>
    </row>
    <row r="1202" spans="7:27" x14ac:dyDescent="0.45">
      <c r="G1202"/>
      <c r="H1202"/>
      <c r="I1202"/>
      <c r="J1202"/>
      <c r="M1202"/>
      <c r="O1202"/>
      <c r="Q1202"/>
      <c r="R1202"/>
      <c r="S1202"/>
      <c r="T1202"/>
      <c r="U1202"/>
      <c r="V1202"/>
      <c r="Z1202"/>
      <c r="AA1202"/>
    </row>
    <row r="1203" spans="7:27" x14ac:dyDescent="0.45">
      <c r="G1203"/>
      <c r="H1203"/>
      <c r="I1203"/>
      <c r="J1203"/>
      <c r="M1203"/>
      <c r="O1203"/>
      <c r="Q1203"/>
      <c r="R1203"/>
      <c r="S1203"/>
      <c r="T1203"/>
      <c r="U1203"/>
      <c r="V1203"/>
      <c r="Z1203"/>
      <c r="AA1203"/>
    </row>
    <row r="1204" spans="7:27" x14ac:dyDescent="0.45">
      <c r="G1204"/>
      <c r="H1204"/>
      <c r="I1204"/>
      <c r="J1204"/>
      <c r="M1204"/>
      <c r="O1204"/>
      <c r="Q1204"/>
      <c r="R1204"/>
      <c r="S1204"/>
      <c r="T1204"/>
      <c r="U1204"/>
      <c r="V1204"/>
      <c r="Z1204"/>
      <c r="AA1204"/>
    </row>
    <row r="1205" spans="7:27" x14ac:dyDescent="0.45">
      <c r="G1205"/>
      <c r="H1205"/>
      <c r="I1205"/>
      <c r="J1205"/>
      <c r="M1205"/>
      <c r="O1205"/>
      <c r="Q1205"/>
      <c r="R1205"/>
      <c r="S1205"/>
      <c r="T1205"/>
      <c r="U1205"/>
      <c r="V1205"/>
      <c r="Z1205"/>
      <c r="AA1205"/>
    </row>
    <row r="1206" spans="7:27" x14ac:dyDescent="0.45">
      <c r="G1206"/>
      <c r="H1206"/>
      <c r="I1206"/>
      <c r="J1206"/>
      <c r="M1206"/>
      <c r="O1206"/>
      <c r="Q1206"/>
      <c r="R1206"/>
      <c r="S1206"/>
      <c r="T1206"/>
      <c r="U1206"/>
      <c r="V1206"/>
      <c r="Z1206"/>
      <c r="AA1206"/>
    </row>
    <row r="1207" spans="7:27" x14ac:dyDescent="0.45">
      <c r="G1207"/>
      <c r="H1207"/>
      <c r="I1207"/>
      <c r="J1207"/>
      <c r="M1207"/>
      <c r="O1207"/>
      <c r="Q1207"/>
      <c r="R1207"/>
      <c r="S1207"/>
      <c r="T1207"/>
      <c r="U1207"/>
      <c r="V1207"/>
      <c r="Z1207"/>
      <c r="AA1207"/>
    </row>
    <row r="1208" spans="7:27" x14ac:dyDescent="0.45">
      <c r="G1208"/>
      <c r="H1208"/>
      <c r="I1208"/>
      <c r="J1208"/>
      <c r="M1208"/>
      <c r="O1208"/>
      <c r="Q1208"/>
      <c r="R1208"/>
      <c r="S1208"/>
      <c r="T1208"/>
      <c r="U1208"/>
      <c r="V1208"/>
      <c r="Z1208"/>
      <c r="AA1208"/>
    </row>
    <row r="1209" spans="7:27" x14ac:dyDescent="0.45">
      <c r="G1209"/>
      <c r="H1209"/>
      <c r="I1209"/>
      <c r="J1209"/>
      <c r="M1209"/>
      <c r="O1209"/>
      <c r="Q1209"/>
      <c r="R1209"/>
      <c r="S1209"/>
      <c r="T1209"/>
      <c r="U1209"/>
      <c r="V1209"/>
      <c r="Z1209"/>
      <c r="AA1209"/>
    </row>
    <row r="1210" spans="7:27" x14ac:dyDescent="0.45">
      <c r="G1210"/>
      <c r="H1210"/>
      <c r="I1210"/>
      <c r="J1210"/>
      <c r="M1210"/>
      <c r="O1210"/>
      <c r="Q1210"/>
      <c r="R1210"/>
      <c r="S1210"/>
      <c r="T1210"/>
      <c r="U1210"/>
      <c r="V1210"/>
      <c r="Z1210"/>
      <c r="AA1210"/>
    </row>
    <row r="1211" spans="7:27" x14ac:dyDescent="0.45">
      <c r="G1211"/>
      <c r="H1211"/>
      <c r="I1211"/>
      <c r="J1211"/>
      <c r="M1211"/>
      <c r="O1211"/>
      <c r="Q1211"/>
      <c r="R1211"/>
      <c r="S1211"/>
      <c r="T1211"/>
      <c r="U1211"/>
      <c r="V1211"/>
      <c r="Z1211"/>
      <c r="AA1211"/>
    </row>
    <row r="1212" spans="7:27" x14ac:dyDescent="0.45">
      <c r="G1212"/>
      <c r="H1212"/>
      <c r="I1212"/>
      <c r="J1212"/>
      <c r="M1212"/>
      <c r="O1212"/>
      <c r="Q1212"/>
      <c r="R1212"/>
      <c r="S1212"/>
      <c r="T1212"/>
      <c r="U1212"/>
      <c r="V1212"/>
      <c r="Z1212"/>
      <c r="AA1212"/>
    </row>
    <row r="1213" spans="7:27" x14ac:dyDescent="0.45">
      <c r="G1213"/>
      <c r="H1213"/>
      <c r="I1213"/>
      <c r="J1213"/>
      <c r="M1213"/>
      <c r="O1213"/>
      <c r="Q1213"/>
      <c r="R1213"/>
      <c r="S1213"/>
      <c r="T1213"/>
      <c r="U1213"/>
      <c r="V1213"/>
      <c r="Z1213"/>
      <c r="AA1213"/>
    </row>
    <row r="1214" spans="7:27" x14ac:dyDescent="0.45">
      <c r="G1214"/>
      <c r="H1214"/>
      <c r="I1214"/>
      <c r="J1214"/>
      <c r="M1214"/>
      <c r="O1214"/>
      <c r="Q1214"/>
      <c r="R1214"/>
      <c r="S1214"/>
      <c r="T1214"/>
      <c r="U1214"/>
      <c r="V1214"/>
      <c r="Z1214"/>
      <c r="AA1214"/>
    </row>
    <row r="1215" spans="7:27" x14ac:dyDescent="0.45">
      <c r="G1215"/>
      <c r="H1215"/>
      <c r="I1215"/>
      <c r="J1215"/>
      <c r="M1215"/>
      <c r="O1215"/>
      <c r="Q1215"/>
      <c r="R1215"/>
      <c r="S1215"/>
      <c r="T1215"/>
      <c r="U1215"/>
      <c r="V1215"/>
      <c r="Z1215"/>
      <c r="AA1215"/>
    </row>
    <row r="1216" spans="7:27" x14ac:dyDescent="0.45">
      <c r="G1216"/>
      <c r="H1216"/>
      <c r="I1216"/>
      <c r="J1216"/>
      <c r="M1216"/>
      <c r="O1216"/>
      <c r="Q1216"/>
      <c r="R1216"/>
      <c r="S1216"/>
      <c r="T1216"/>
      <c r="U1216"/>
      <c r="V1216"/>
      <c r="Z1216"/>
      <c r="AA1216"/>
    </row>
    <row r="1217" spans="7:27" x14ac:dyDescent="0.45">
      <c r="G1217"/>
      <c r="H1217"/>
      <c r="I1217"/>
      <c r="J1217"/>
      <c r="M1217"/>
      <c r="O1217"/>
      <c r="Q1217"/>
      <c r="R1217"/>
      <c r="S1217"/>
      <c r="T1217"/>
      <c r="U1217"/>
      <c r="V1217"/>
      <c r="Z1217"/>
      <c r="AA1217"/>
    </row>
    <row r="1218" spans="7:27" x14ac:dyDescent="0.45">
      <c r="G1218"/>
      <c r="H1218"/>
      <c r="I1218"/>
      <c r="J1218"/>
      <c r="M1218"/>
      <c r="O1218"/>
      <c r="Q1218"/>
      <c r="R1218"/>
      <c r="S1218"/>
      <c r="T1218"/>
      <c r="U1218"/>
      <c r="V1218"/>
      <c r="Z1218"/>
      <c r="AA1218"/>
    </row>
    <row r="1219" spans="7:27" x14ac:dyDescent="0.45">
      <c r="G1219"/>
      <c r="H1219"/>
      <c r="I1219"/>
      <c r="J1219"/>
      <c r="M1219"/>
      <c r="O1219"/>
      <c r="Q1219"/>
      <c r="R1219"/>
      <c r="S1219"/>
      <c r="T1219"/>
      <c r="U1219"/>
      <c r="V1219"/>
      <c r="Z1219"/>
      <c r="AA1219"/>
    </row>
    <row r="1220" spans="7:27" x14ac:dyDescent="0.45">
      <c r="G1220"/>
      <c r="H1220"/>
      <c r="I1220"/>
      <c r="J1220"/>
      <c r="M1220"/>
      <c r="O1220"/>
      <c r="Q1220"/>
      <c r="R1220"/>
      <c r="S1220"/>
      <c r="T1220"/>
      <c r="U1220"/>
      <c r="V1220"/>
      <c r="Z1220"/>
      <c r="AA1220"/>
    </row>
    <row r="1221" spans="7:27" x14ac:dyDescent="0.45">
      <c r="G1221"/>
      <c r="H1221"/>
      <c r="I1221"/>
      <c r="J1221"/>
      <c r="M1221"/>
      <c r="O1221"/>
      <c r="Q1221"/>
      <c r="R1221"/>
      <c r="S1221"/>
      <c r="T1221"/>
      <c r="U1221"/>
      <c r="V1221"/>
      <c r="Z1221"/>
      <c r="AA1221"/>
    </row>
    <row r="1222" spans="7:27" x14ac:dyDescent="0.45">
      <c r="G1222"/>
      <c r="H1222"/>
      <c r="I1222"/>
      <c r="J1222"/>
      <c r="M1222"/>
      <c r="O1222"/>
      <c r="Q1222"/>
      <c r="R1222"/>
      <c r="S1222"/>
      <c r="T1222"/>
      <c r="U1222"/>
      <c r="V1222"/>
      <c r="Z1222"/>
      <c r="AA1222"/>
    </row>
    <row r="1223" spans="7:27" x14ac:dyDescent="0.45">
      <c r="G1223"/>
      <c r="H1223"/>
      <c r="I1223"/>
      <c r="J1223"/>
      <c r="M1223"/>
      <c r="O1223"/>
      <c r="Q1223"/>
      <c r="R1223"/>
      <c r="S1223"/>
      <c r="T1223"/>
      <c r="U1223"/>
      <c r="V1223"/>
      <c r="Z1223"/>
      <c r="AA1223"/>
    </row>
    <row r="1224" spans="7:27" x14ac:dyDescent="0.45">
      <c r="G1224"/>
      <c r="H1224"/>
      <c r="I1224"/>
      <c r="J1224"/>
      <c r="M1224"/>
      <c r="O1224"/>
      <c r="Q1224"/>
      <c r="R1224"/>
      <c r="S1224"/>
      <c r="T1224"/>
      <c r="U1224"/>
      <c r="V1224"/>
      <c r="Z1224"/>
      <c r="AA1224"/>
    </row>
    <row r="1225" spans="7:27" x14ac:dyDescent="0.45">
      <c r="G1225"/>
      <c r="H1225"/>
      <c r="I1225"/>
      <c r="J1225"/>
      <c r="M1225"/>
      <c r="O1225"/>
      <c r="Q1225"/>
      <c r="R1225"/>
      <c r="S1225"/>
      <c r="T1225"/>
      <c r="U1225"/>
      <c r="V1225"/>
      <c r="Z1225"/>
      <c r="AA1225"/>
    </row>
    <row r="1226" spans="7:27" x14ac:dyDescent="0.45">
      <c r="G1226"/>
      <c r="H1226"/>
      <c r="I1226"/>
      <c r="J1226"/>
      <c r="M1226"/>
      <c r="O1226"/>
      <c r="Q1226"/>
      <c r="R1226"/>
      <c r="S1226"/>
      <c r="T1226"/>
      <c r="U1226"/>
      <c r="V1226"/>
      <c r="Z1226"/>
      <c r="AA1226"/>
    </row>
    <row r="1227" spans="7:27" x14ac:dyDescent="0.45">
      <c r="G1227"/>
      <c r="H1227"/>
      <c r="I1227"/>
      <c r="J1227"/>
      <c r="M1227"/>
      <c r="O1227"/>
      <c r="Q1227"/>
      <c r="R1227"/>
      <c r="S1227"/>
      <c r="T1227"/>
      <c r="U1227"/>
      <c r="V1227"/>
      <c r="Z1227"/>
      <c r="AA1227"/>
    </row>
    <row r="1228" spans="7:27" x14ac:dyDescent="0.45">
      <c r="G1228"/>
      <c r="H1228"/>
      <c r="I1228"/>
      <c r="J1228"/>
      <c r="M1228"/>
      <c r="O1228"/>
      <c r="Q1228"/>
      <c r="R1228"/>
      <c r="S1228"/>
      <c r="T1228"/>
      <c r="U1228"/>
      <c r="V1228"/>
      <c r="Z1228"/>
      <c r="AA1228"/>
    </row>
    <row r="1229" spans="7:27" x14ac:dyDescent="0.45">
      <c r="G1229"/>
      <c r="H1229"/>
      <c r="I1229"/>
      <c r="J1229"/>
      <c r="M1229"/>
      <c r="O1229"/>
      <c r="Q1229"/>
      <c r="R1229"/>
      <c r="S1229"/>
      <c r="T1229"/>
      <c r="U1229"/>
      <c r="V1229"/>
      <c r="Z1229"/>
      <c r="AA1229"/>
    </row>
    <row r="1230" spans="7:27" x14ac:dyDescent="0.45">
      <c r="G1230"/>
      <c r="H1230"/>
      <c r="I1230"/>
      <c r="J1230"/>
      <c r="M1230"/>
      <c r="O1230"/>
      <c r="Q1230"/>
      <c r="R1230"/>
      <c r="S1230"/>
      <c r="T1230"/>
      <c r="U1230"/>
      <c r="V1230"/>
      <c r="Z1230"/>
      <c r="AA1230"/>
    </row>
    <row r="1231" spans="7:27" x14ac:dyDescent="0.45">
      <c r="G1231"/>
      <c r="H1231"/>
      <c r="I1231"/>
      <c r="J1231"/>
      <c r="M1231"/>
      <c r="O1231"/>
      <c r="Q1231"/>
      <c r="R1231"/>
      <c r="S1231"/>
      <c r="T1231"/>
      <c r="U1231"/>
      <c r="V1231"/>
      <c r="Z1231"/>
      <c r="AA1231"/>
    </row>
    <row r="1232" spans="7:27" x14ac:dyDescent="0.45">
      <c r="G1232"/>
      <c r="H1232"/>
      <c r="I1232"/>
      <c r="J1232"/>
      <c r="M1232"/>
      <c r="O1232"/>
      <c r="Q1232"/>
      <c r="R1232"/>
      <c r="S1232"/>
      <c r="T1232"/>
      <c r="U1232"/>
      <c r="V1232"/>
      <c r="Z1232"/>
      <c r="AA1232"/>
    </row>
    <row r="1233" spans="7:27" x14ac:dyDescent="0.45">
      <c r="G1233"/>
      <c r="H1233"/>
      <c r="I1233"/>
      <c r="J1233"/>
      <c r="M1233"/>
      <c r="O1233"/>
      <c r="Q1233"/>
      <c r="R1233"/>
      <c r="S1233"/>
      <c r="T1233"/>
      <c r="U1233"/>
      <c r="V1233"/>
      <c r="Z1233"/>
      <c r="AA1233"/>
    </row>
    <row r="1234" spans="7:27" x14ac:dyDescent="0.45">
      <c r="G1234"/>
      <c r="H1234"/>
      <c r="I1234"/>
      <c r="J1234"/>
      <c r="M1234"/>
      <c r="O1234"/>
      <c r="Q1234"/>
      <c r="R1234"/>
      <c r="S1234"/>
      <c r="T1234"/>
      <c r="U1234"/>
      <c r="V1234"/>
      <c r="Z1234"/>
      <c r="AA1234"/>
    </row>
    <row r="1235" spans="7:27" x14ac:dyDescent="0.45">
      <c r="G1235"/>
      <c r="H1235"/>
      <c r="I1235"/>
      <c r="J1235"/>
      <c r="M1235"/>
      <c r="O1235"/>
      <c r="Q1235"/>
      <c r="R1235"/>
      <c r="S1235"/>
      <c r="T1235"/>
      <c r="U1235"/>
      <c r="V1235"/>
      <c r="Z1235"/>
      <c r="AA1235"/>
    </row>
    <row r="1236" spans="7:27" x14ac:dyDescent="0.45">
      <c r="G1236"/>
      <c r="H1236"/>
      <c r="I1236"/>
      <c r="J1236"/>
      <c r="M1236"/>
      <c r="O1236"/>
      <c r="Q1236"/>
      <c r="R1236"/>
      <c r="S1236"/>
      <c r="T1236"/>
      <c r="U1236"/>
      <c r="V1236"/>
      <c r="Z1236"/>
      <c r="AA1236"/>
    </row>
    <row r="1237" spans="7:27" x14ac:dyDescent="0.45">
      <c r="G1237"/>
      <c r="H1237"/>
      <c r="I1237"/>
      <c r="J1237"/>
      <c r="M1237"/>
      <c r="O1237"/>
      <c r="Q1237"/>
      <c r="R1237"/>
      <c r="S1237"/>
      <c r="T1237"/>
      <c r="U1237"/>
      <c r="V1237"/>
      <c r="Z1237"/>
      <c r="AA1237"/>
    </row>
    <row r="1238" spans="7:27" x14ac:dyDescent="0.45">
      <c r="G1238"/>
      <c r="H1238"/>
      <c r="I1238"/>
      <c r="J1238"/>
      <c r="M1238"/>
      <c r="O1238"/>
      <c r="Q1238"/>
      <c r="R1238"/>
      <c r="S1238"/>
      <c r="T1238"/>
      <c r="U1238"/>
      <c r="V1238"/>
      <c r="Z1238"/>
      <c r="AA1238"/>
    </row>
    <row r="1239" spans="7:27" x14ac:dyDescent="0.45">
      <c r="G1239"/>
      <c r="H1239"/>
      <c r="I1239"/>
      <c r="J1239"/>
      <c r="M1239"/>
      <c r="O1239"/>
      <c r="Q1239"/>
      <c r="R1239"/>
      <c r="S1239"/>
      <c r="T1239"/>
      <c r="U1239"/>
      <c r="V1239"/>
      <c r="Z1239"/>
      <c r="AA1239"/>
    </row>
    <row r="1240" spans="7:27" x14ac:dyDescent="0.45">
      <c r="G1240"/>
      <c r="H1240"/>
      <c r="I1240"/>
      <c r="J1240"/>
      <c r="M1240"/>
      <c r="O1240"/>
      <c r="Q1240"/>
      <c r="R1240"/>
      <c r="S1240"/>
      <c r="T1240"/>
      <c r="U1240"/>
      <c r="V1240"/>
      <c r="Z1240"/>
      <c r="AA1240"/>
    </row>
    <row r="1241" spans="7:27" x14ac:dyDescent="0.45">
      <c r="G1241"/>
      <c r="H1241"/>
      <c r="I1241"/>
      <c r="J1241"/>
      <c r="M1241"/>
      <c r="O1241"/>
      <c r="Q1241"/>
      <c r="R1241"/>
      <c r="S1241"/>
      <c r="T1241"/>
      <c r="U1241"/>
      <c r="V1241"/>
      <c r="Z1241"/>
      <c r="AA1241"/>
    </row>
    <row r="1242" spans="7:27" x14ac:dyDescent="0.45">
      <c r="G1242"/>
      <c r="H1242"/>
      <c r="I1242"/>
      <c r="J1242"/>
      <c r="M1242"/>
      <c r="O1242"/>
      <c r="Q1242"/>
      <c r="R1242"/>
      <c r="S1242"/>
      <c r="T1242"/>
      <c r="U1242"/>
      <c r="V1242"/>
      <c r="Z1242"/>
      <c r="AA1242"/>
    </row>
    <row r="1243" spans="7:27" x14ac:dyDescent="0.45">
      <c r="G1243"/>
      <c r="H1243"/>
      <c r="I1243"/>
      <c r="J1243"/>
      <c r="M1243"/>
      <c r="O1243"/>
      <c r="Q1243"/>
      <c r="R1243"/>
      <c r="S1243"/>
      <c r="T1243"/>
      <c r="U1243"/>
      <c r="V1243"/>
      <c r="Z1243"/>
      <c r="AA1243"/>
    </row>
    <row r="1244" spans="7:27" x14ac:dyDescent="0.45">
      <c r="G1244"/>
      <c r="H1244"/>
      <c r="I1244"/>
      <c r="J1244"/>
      <c r="M1244"/>
      <c r="O1244"/>
      <c r="Q1244"/>
      <c r="R1244"/>
      <c r="S1244"/>
      <c r="T1244"/>
      <c r="U1244"/>
      <c r="V1244"/>
      <c r="Z1244"/>
      <c r="AA1244"/>
    </row>
    <row r="1245" spans="7:27" x14ac:dyDescent="0.45">
      <c r="G1245"/>
      <c r="H1245"/>
      <c r="I1245"/>
      <c r="J1245"/>
      <c r="M1245"/>
      <c r="O1245"/>
      <c r="Q1245"/>
      <c r="R1245"/>
      <c r="S1245"/>
      <c r="T1245"/>
      <c r="U1245"/>
      <c r="V1245"/>
      <c r="Z1245"/>
      <c r="AA1245"/>
    </row>
    <row r="1246" spans="7:27" x14ac:dyDescent="0.45">
      <c r="G1246"/>
      <c r="H1246"/>
      <c r="I1246"/>
      <c r="J1246"/>
      <c r="M1246"/>
      <c r="O1246"/>
      <c r="Q1246"/>
      <c r="R1246"/>
      <c r="S1246"/>
      <c r="T1246"/>
      <c r="U1246"/>
      <c r="V1246"/>
      <c r="Z1246"/>
      <c r="AA1246"/>
    </row>
    <row r="1247" spans="7:27" x14ac:dyDescent="0.45">
      <c r="G1247"/>
      <c r="H1247"/>
      <c r="I1247"/>
      <c r="J1247"/>
      <c r="M1247"/>
      <c r="O1247"/>
      <c r="Q1247"/>
      <c r="R1247"/>
      <c r="S1247"/>
      <c r="T1247"/>
      <c r="U1247"/>
      <c r="V1247"/>
      <c r="Z1247"/>
      <c r="AA1247"/>
    </row>
    <row r="1248" spans="7:27" x14ac:dyDescent="0.45">
      <c r="G1248"/>
      <c r="H1248"/>
      <c r="I1248"/>
      <c r="J1248"/>
      <c r="M1248"/>
      <c r="O1248"/>
      <c r="Q1248"/>
      <c r="R1248"/>
      <c r="S1248"/>
      <c r="T1248"/>
      <c r="U1248"/>
      <c r="V1248"/>
      <c r="Z1248"/>
      <c r="AA1248"/>
    </row>
    <row r="1249" spans="7:27" x14ac:dyDescent="0.45">
      <c r="G1249"/>
      <c r="H1249"/>
      <c r="I1249"/>
      <c r="J1249"/>
      <c r="M1249"/>
      <c r="O1249"/>
      <c r="Q1249"/>
      <c r="R1249"/>
      <c r="S1249"/>
      <c r="T1249"/>
      <c r="U1249"/>
      <c r="V1249"/>
      <c r="Z1249"/>
      <c r="AA1249"/>
    </row>
    <row r="1250" spans="7:27" x14ac:dyDescent="0.45">
      <c r="G1250"/>
      <c r="H1250"/>
      <c r="I1250"/>
      <c r="J1250"/>
      <c r="M1250"/>
      <c r="O1250"/>
      <c r="Q1250"/>
      <c r="R1250"/>
      <c r="S1250"/>
      <c r="T1250"/>
      <c r="U1250"/>
      <c r="V1250"/>
      <c r="Z1250"/>
      <c r="AA1250"/>
    </row>
    <row r="1251" spans="7:27" x14ac:dyDescent="0.45">
      <c r="G1251"/>
      <c r="H1251"/>
      <c r="I1251"/>
      <c r="J1251"/>
      <c r="M1251"/>
      <c r="O1251"/>
      <c r="Q1251"/>
      <c r="R1251"/>
      <c r="S1251"/>
      <c r="T1251"/>
      <c r="U1251"/>
      <c r="V1251"/>
      <c r="Z1251"/>
      <c r="AA1251"/>
    </row>
    <row r="1252" spans="7:27" x14ac:dyDescent="0.45">
      <c r="G1252"/>
      <c r="H1252"/>
      <c r="I1252"/>
      <c r="J1252"/>
      <c r="M1252"/>
      <c r="O1252"/>
      <c r="Q1252"/>
      <c r="R1252"/>
      <c r="S1252"/>
      <c r="T1252"/>
      <c r="U1252"/>
      <c r="V1252"/>
      <c r="Z1252"/>
      <c r="AA1252"/>
    </row>
    <row r="1253" spans="7:27" x14ac:dyDescent="0.45">
      <c r="G1253"/>
      <c r="H1253"/>
      <c r="I1253"/>
      <c r="J1253"/>
      <c r="M1253"/>
      <c r="O1253"/>
      <c r="Q1253"/>
      <c r="R1253"/>
      <c r="S1253"/>
      <c r="T1253"/>
      <c r="U1253"/>
      <c r="V1253"/>
      <c r="Z1253"/>
      <c r="AA1253"/>
    </row>
    <row r="1254" spans="7:27" x14ac:dyDescent="0.45">
      <c r="G1254"/>
      <c r="H1254"/>
      <c r="I1254"/>
      <c r="J1254"/>
      <c r="M1254"/>
      <c r="O1254"/>
      <c r="Q1254"/>
      <c r="R1254"/>
      <c r="S1254"/>
      <c r="T1254"/>
      <c r="U1254"/>
      <c r="V1254"/>
      <c r="Z1254"/>
      <c r="AA1254"/>
    </row>
    <row r="1255" spans="7:27" x14ac:dyDescent="0.45">
      <c r="G1255"/>
      <c r="H1255"/>
      <c r="I1255"/>
      <c r="J1255"/>
      <c r="M1255"/>
      <c r="O1255"/>
      <c r="Q1255"/>
      <c r="R1255"/>
      <c r="S1255"/>
      <c r="T1255"/>
      <c r="U1255"/>
      <c r="V1255"/>
      <c r="Z1255"/>
      <c r="AA1255"/>
    </row>
    <row r="1256" spans="7:27" x14ac:dyDescent="0.45">
      <c r="G1256"/>
      <c r="H1256"/>
      <c r="I1256"/>
      <c r="J1256"/>
      <c r="M1256"/>
      <c r="O1256"/>
      <c r="Q1256"/>
      <c r="R1256"/>
      <c r="S1256"/>
      <c r="T1256"/>
      <c r="U1256"/>
      <c r="V1256"/>
      <c r="Z1256"/>
      <c r="AA1256"/>
    </row>
    <row r="1257" spans="7:27" x14ac:dyDescent="0.45">
      <c r="G1257"/>
      <c r="H1257"/>
      <c r="I1257"/>
      <c r="J1257"/>
      <c r="M1257"/>
      <c r="O1257"/>
      <c r="Q1257"/>
      <c r="R1257"/>
      <c r="S1257"/>
      <c r="T1257"/>
      <c r="U1257"/>
      <c r="V1257"/>
      <c r="Z1257"/>
      <c r="AA1257"/>
    </row>
    <row r="1258" spans="7:27" x14ac:dyDescent="0.45">
      <c r="G1258"/>
      <c r="H1258"/>
      <c r="I1258"/>
      <c r="J1258"/>
      <c r="M1258"/>
      <c r="O1258"/>
      <c r="Q1258"/>
      <c r="R1258"/>
      <c r="S1258"/>
      <c r="T1258"/>
      <c r="U1258"/>
      <c r="V1258"/>
      <c r="Z1258"/>
      <c r="AA1258"/>
    </row>
    <row r="1259" spans="7:27" x14ac:dyDescent="0.45">
      <c r="G1259"/>
      <c r="H1259"/>
      <c r="I1259"/>
      <c r="J1259"/>
      <c r="M1259"/>
      <c r="O1259"/>
      <c r="Q1259"/>
      <c r="R1259"/>
      <c r="S1259"/>
      <c r="T1259"/>
      <c r="U1259"/>
      <c r="V1259"/>
      <c r="Z1259"/>
      <c r="AA1259"/>
    </row>
    <row r="1260" spans="7:27" x14ac:dyDescent="0.45">
      <c r="G1260"/>
      <c r="H1260"/>
      <c r="I1260"/>
      <c r="J1260"/>
      <c r="M1260"/>
      <c r="O1260"/>
      <c r="Q1260"/>
      <c r="R1260"/>
      <c r="S1260"/>
      <c r="T1260"/>
      <c r="U1260"/>
      <c r="V1260"/>
      <c r="Z1260"/>
      <c r="AA1260"/>
    </row>
    <row r="1261" spans="7:27" x14ac:dyDescent="0.45">
      <c r="G1261"/>
      <c r="H1261"/>
      <c r="I1261"/>
      <c r="J1261"/>
      <c r="M1261"/>
      <c r="O1261"/>
      <c r="Q1261"/>
      <c r="R1261"/>
      <c r="S1261"/>
      <c r="T1261"/>
      <c r="U1261"/>
      <c r="V1261"/>
      <c r="Z1261"/>
      <c r="AA1261"/>
    </row>
    <row r="1262" spans="7:27" x14ac:dyDescent="0.45">
      <c r="G1262"/>
      <c r="H1262"/>
      <c r="I1262"/>
      <c r="J1262"/>
      <c r="M1262"/>
      <c r="O1262"/>
      <c r="Q1262"/>
      <c r="R1262"/>
      <c r="S1262"/>
      <c r="T1262"/>
      <c r="U1262"/>
      <c r="V1262"/>
      <c r="Z1262"/>
      <c r="AA1262"/>
    </row>
    <row r="1263" spans="7:27" x14ac:dyDescent="0.45">
      <c r="G1263"/>
      <c r="H1263"/>
      <c r="I1263"/>
      <c r="J1263"/>
      <c r="M1263"/>
      <c r="O1263"/>
      <c r="Q1263"/>
      <c r="R1263"/>
      <c r="S1263"/>
      <c r="T1263"/>
      <c r="U1263"/>
      <c r="V1263"/>
      <c r="Z1263"/>
      <c r="AA1263"/>
    </row>
    <row r="1264" spans="7:27" x14ac:dyDescent="0.45">
      <c r="G1264"/>
      <c r="H1264"/>
      <c r="I1264"/>
      <c r="J1264"/>
      <c r="M1264"/>
      <c r="O1264"/>
      <c r="Q1264"/>
      <c r="R1264"/>
      <c r="S1264"/>
      <c r="T1264"/>
      <c r="U1264"/>
      <c r="V1264"/>
      <c r="Z1264"/>
      <c r="AA1264"/>
    </row>
    <row r="1265" spans="7:27" x14ac:dyDescent="0.45">
      <c r="G1265"/>
      <c r="H1265"/>
      <c r="I1265"/>
      <c r="J1265"/>
      <c r="M1265"/>
      <c r="O1265"/>
      <c r="Q1265"/>
      <c r="R1265"/>
      <c r="S1265"/>
      <c r="T1265"/>
      <c r="U1265"/>
      <c r="V1265"/>
      <c r="Z1265"/>
      <c r="AA1265"/>
    </row>
    <row r="1266" spans="7:27" x14ac:dyDescent="0.45">
      <c r="G1266"/>
      <c r="H1266"/>
      <c r="I1266"/>
      <c r="J1266"/>
      <c r="M1266"/>
      <c r="O1266"/>
      <c r="Q1266"/>
      <c r="R1266"/>
      <c r="S1266"/>
      <c r="T1266"/>
      <c r="U1266"/>
      <c r="V1266"/>
      <c r="Z1266"/>
      <c r="AA1266"/>
    </row>
    <row r="1267" spans="7:27" x14ac:dyDescent="0.45">
      <c r="G1267"/>
      <c r="H1267"/>
      <c r="I1267"/>
      <c r="J1267"/>
      <c r="M1267"/>
      <c r="O1267"/>
      <c r="Q1267"/>
      <c r="R1267"/>
      <c r="S1267"/>
      <c r="T1267"/>
      <c r="U1267"/>
      <c r="V1267"/>
      <c r="Z1267"/>
      <c r="AA1267"/>
    </row>
    <row r="1268" spans="7:27" x14ac:dyDescent="0.45">
      <c r="G1268"/>
      <c r="H1268"/>
      <c r="I1268"/>
      <c r="J1268"/>
      <c r="M1268"/>
      <c r="O1268"/>
      <c r="Q1268"/>
      <c r="R1268"/>
      <c r="S1268"/>
      <c r="T1268"/>
      <c r="U1268"/>
      <c r="V1268"/>
      <c r="Z1268"/>
      <c r="AA1268"/>
    </row>
    <row r="1269" spans="7:27" x14ac:dyDescent="0.45">
      <c r="G1269"/>
      <c r="H1269"/>
      <c r="I1269"/>
      <c r="J1269"/>
      <c r="M1269"/>
      <c r="O1269"/>
      <c r="Q1269"/>
      <c r="R1269"/>
      <c r="S1269"/>
      <c r="T1269"/>
      <c r="U1269"/>
      <c r="V1269"/>
      <c r="Z1269"/>
      <c r="AA1269"/>
    </row>
    <row r="1270" spans="7:27" x14ac:dyDescent="0.45">
      <c r="G1270"/>
      <c r="H1270"/>
      <c r="I1270"/>
      <c r="J1270"/>
      <c r="M1270"/>
      <c r="O1270"/>
      <c r="Q1270"/>
      <c r="R1270"/>
      <c r="S1270"/>
      <c r="T1270"/>
      <c r="U1270"/>
      <c r="V1270"/>
      <c r="Z1270"/>
      <c r="AA1270"/>
    </row>
    <row r="1271" spans="7:27" x14ac:dyDescent="0.45">
      <c r="G1271"/>
      <c r="H1271"/>
      <c r="I1271"/>
      <c r="J1271"/>
      <c r="M1271"/>
      <c r="O1271"/>
      <c r="Q1271"/>
      <c r="R1271"/>
      <c r="S1271"/>
      <c r="T1271"/>
      <c r="U1271"/>
      <c r="V1271"/>
      <c r="Z1271"/>
      <c r="AA1271"/>
    </row>
    <row r="1272" spans="7:27" x14ac:dyDescent="0.45">
      <c r="G1272"/>
      <c r="H1272"/>
      <c r="I1272"/>
      <c r="J1272"/>
      <c r="M1272"/>
      <c r="O1272"/>
      <c r="Q1272"/>
      <c r="R1272"/>
      <c r="S1272"/>
      <c r="T1272"/>
      <c r="U1272"/>
      <c r="V1272"/>
      <c r="Z1272"/>
      <c r="AA1272"/>
    </row>
    <row r="1273" spans="7:27" x14ac:dyDescent="0.45">
      <c r="G1273"/>
      <c r="H1273"/>
      <c r="I1273"/>
      <c r="J1273"/>
      <c r="M1273"/>
      <c r="O1273"/>
      <c r="Q1273"/>
      <c r="R1273"/>
      <c r="S1273"/>
      <c r="T1273"/>
      <c r="U1273"/>
      <c r="V1273"/>
      <c r="Z1273"/>
      <c r="AA1273"/>
    </row>
    <row r="1274" spans="7:27" x14ac:dyDescent="0.45">
      <c r="G1274"/>
      <c r="H1274"/>
      <c r="I1274"/>
      <c r="J1274"/>
      <c r="M1274"/>
      <c r="O1274"/>
      <c r="Q1274"/>
      <c r="R1274"/>
      <c r="S1274"/>
      <c r="T1274"/>
      <c r="U1274"/>
      <c r="V1274"/>
      <c r="Z1274"/>
      <c r="AA1274"/>
    </row>
    <row r="1275" spans="7:27" x14ac:dyDescent="0.45">
      <c r="G1275"/>
      <c r="H1275"/>
      <c r="I1275"/>
      <c r="J1275"/>
      <c r="M1275"/>
      <c r="O1275"/>
      <c r="Q1275"/>
      <c r="R1275"/>
      <c r="S1275"/>
      <c r="T1275"/>
      <c r="U1275"/>
      <c r="V1275"/>
      <c r="Z1275"/>
      <c r="AA1275"/>
    </row>
    <row r="1276" spans="7:27" x14ac:dyDescent="0.45">
      <c r="G1276"/>
      <c r="H1276"/>
      <c r="I1276"/>
      <c r="J1276"/>
      <c r="M1276"/>
      <c r="O1276"/>
      <c r="Q1276"/>
      <c r="R1276"/>
      <c r="S1276"/>
      <c r="T1276"/>
      <c r="U1276"/>
      <c r="V1276"/>
      <c r="Z1276"/>
      <c r="AA1276"/>
    </row>
    <row r="1277" spans="7:27" x14ac:dyDescent="0.45">
      <c r="G1277"/>
      <c r="H1277"/>
      <c r="I1277"/>
      <c r="J1277"/>
      <c r="M1277"/>
      <c r="O1277"/>
      <c r="Q1277"/>
      <c r="R1277"/>
      <c r="S1277"/>
      <c r="T1277"/>
      <c r="U1277"/>
      <c r="V1277"/>
      <c r="Z1277"/>
      <c r="AA1277"/>
    </row>
    <row r="1278" spans="7:27" x14ac:dyDescent="0.45">
      <c r="G1278"/>
      <c r="H1278"/>
      <c r="I1278"/>
      <c r="J1278"/>
      <c r="M1278"/>
      <c r="O1278"/>
      <c r="Q1278"/>
      <c r="R1278"/>
      <c r="S1278"/>
      <c r="T1278"/>
      <c r="U1278"/>
      <c r="V1278"/>
      <c r="Z1278"/>
      <c r="AA1278"/>
    </row>
    <row r="1279" spans="7:27" x14ac:dyDescent="0.45">
      <c r="G1279"/>
      <c r="H1279"/>
      <c r="I1279"/>
      <c r="J1279"/>
      <c r="M1279"/>
      <c r="O1279"/>
      <c r="Q1279"/>
      <c r="R1279"/>
      <c r="S1279"/>
      <c r="T1279"/>
      <c r="U1279"/>
      <c r="V1279"/>
      <c r="Z1279"/>
      <c r="AA1279"/>
    </row>
    <row r="1280" spans="7:27" x14ac:dyDescent="0.45">
      <c r="G1280"/>
      <c r="H1280"/>
      <c r="I1280"/>
      <c r="J1280"/>
      <c r="M1280"/>
      <c r="O1280"/>
      <c r="Q1280"/>
      <c r="R1280"/>
      <c r="S1280"/>
      <c r="T1280"/>
      <c r="U1280"/>
      <c r="V1280"/>
      <c r="Z1280"/>
      <c r="AA1280"/>
    </row>
    <row r="1281" spans="7:27" x14ac:dyDescent="0.45">
      <c r="G1281"/>
      <c r="H1281"/>
      <c r="I1281"/>
      <c r="J1281"/>
      <c r="M1281"/>
      <c r="O1281"/>
      <c r="Q1281"/>
      <c r="R1281"/>
      <c r="S1281"/>
      <c r="T1281"/>
      <c r="U1281"/>
      <c r="V1281"/>
      <c r="Z1281"/>
      <c r="AA1281"/>
    </row>
    <row r="1282" spans="7:27" x14ac:dyDescent="0.45">
      <c r="G1282"/>
      <c r="H1282"/>
      <c r="I1282"/>
      <c r="J1282"/>
      <c r="M1282"/>
      <c r="O1282"/>
      <c r="Q1282"/>
      <c r="R1282"/>
      <c r="S1282"/>
      <c r="T1282"/>
      <c r="U1282"/>
      <c r="V1282"/>
      <c r="Z1282"/>
      <c r="AA1282"/>
    </row>
    <row r="1283" spans="7:27" x14ac:dyDescent="0.45">
      <c r="G1283"/>
      <c r="H1283"/>
      <c r="I1283"/>
      <c r="J1283"/>
      <c r="M1283"/>
      <c r="O1283"/>
      <c r="Q1283"/>
      <c r="R1283"/>
      <c r="S1283"/>
      <c r="T1283"/>
      <c r="U1283"/>
      <c r="V1283"/>
      <c r="Z1283"/>
      <c r="AA1283"/>
    </row>
    <row r="1284" spans="7:27" x14ac:dyDescent="0.45">
      <c r="G1284"/>
      <c r="H1284"/>
      <c r="I1284"/>
      <c r="J1284"/>
      <c r="M1284"/>
      <c r="O1284"/>
      <c r="Q1284"/>
      <c r="R1284"/>
      <c r="S1284"/>
      <c r="T1284"/>
      <c r="U1284"/>
      <c r="V1284"/>
      <c r="Z1284"/>
      <c r="AA1284"/>
    </row>
    <row r="1285" spans="7:27" x14ac:dyDescent="0.45">
      <c r="G1285"/>
      <c r="H1285"/>
      <c r="I1285"/>
      <c r="J1285"/>
      <c r="M1285"/>
      <c r="O1285"/>
      <c r="Q1285"/>
      <c r="R1285"/>
      <c r="S1285"/>
      <c r="T1285"/>
      <c r="U1285"/>
      <c r="V1285"/>
      <c r="Z1285"/>
      <c r="AA1285"/>
    </row>
    <row r="1286" spans="7:27" x14ac:dyDescent="0.45">
      <c r="G1286"/>
      <c r="H1286"/>
      <c r="I1286"/>
      <c r="J1286"/>
      <c r="M1286"/>
      <c r="O1286"/>
      <c r="Q1286"/>
      <c r="R1286"/>
      <c r="S1286"/>
      <c r="T1286"/>
      <c r="U1286"/>
      <c r="V1286"/>
      <c r="Z1286"/>
      <c r="AA1286"/>
    </row>
    <row r="1287" spans="7:27" x14ac:dyDescent="0.45">
      <c r="G1287"/>
      <c r="H1287"/>
      <c r="I1287"/>
      <c r="J1287"/>
      <c r="M1287"/>
      <c r="O1287"/>
      <c r="Q1287"/>
      <c r="R1287"/>
      <c r="S1287"/>
      <c r="T1287"/>
      <c r="U1287"/>
      <c r="V1287"/>
      <c r="Z1287"/>
      <c r="AA1287"/>
    </row>
    <row r="1288" spans="7:27" x14ac:dyDescent="0.45">
      <c r="G1288"/>
      <c r="H1288"/>
      <c r="I1288"/>
      <c r="J1288"/>
      <c r="M1288"/>
      <c r="O1288"/>
      <c r="Q1288"/>
      <c r="R1288"/>
      <c r="S1288"/>
      <c r="T1288"/>
      <c r="U1288"/>
      <c r="V1288"/>
      <c r="Z1288"/>
      <c r="AA1288"/>
    </row>
    <row r="1289" spans="7:27" x14ac:dyDescent="0.45">
      <c r="G1289"/>
      <c r="H1289"/>
      <c r="I1289"/>
      <c r="J1289"/>
      <c r="M1289"/>
      <c r="O1289"/>
      <c r="Q1289"/>
      <c r="R1289"/>
      <c r="S1289"/>
      <c r="T1289"/>
      <c r="U1289"/>
      <c r="V1289"/>
      <c r="Z1289"/>
      <c r="AA1289"/>
    </row>
    <row r="1290" spans="7:27" x14ac:dyDescent="0.45">
      <c r="G1290"/>
      <c r="H1290"/>
      <c r="I1290"/>
      <c r="J1290"/>
      <c r="M1290"/>
      <c r="O1290"/>
      <c r="Q1290"/>
      <c r="R1290"/>
      <c r="S1290"/>
      <c r="T1290"/>
      <c r="U1290"/>
      <c r="V1290"/>
      <c r="Z1290"/>
      <c r="AA1290"/>
    </row>
    <row r="1291" spans="7:27" x14ac:dyDescent="0.45">
      <c r="G1291"/>
      <c r="H1291"/>
      <c r="I1291"/>
      <c r="J1291"/>
      <c r="M1291"/>
      <c r="O1291"/>
      <c r="Q1291"/>
      <c r="R1291"/>
      <c r="S1291"/>
      <c r="T1291"/>
      <c r="U1291"/>
      <c r="V1291"/>
      <c r="Z1291"/>
      <c r="AA1291"/>
    </row>
    <row r="1292" spans="7:27" x14ac:dyDescent="0.45">
      <c r="G1292"/>
      <c r="H1292"/>
      <c r="I1292"/>
      <c r="J1292"/>
      <c r="M1292"/>
      <c r="O1292"/>
      <c r="Q1292"/>
      <c r="R1292"/>
      <c r="S1292"/>
      <c r="T1292"/>
      <c r="U1292"/>
      <c r="V1292"/>
      <c r="Z1292"/>
      <c r="AA1292"/>
    </row>
    <row r="1293" spans="7:27" x14ac:dyDescent="0.45">
      <c r="G1293"/>
      <c r="H1293"/>
      <c r="I1293"/>
      <c r="J1293"/>
      <c r="M1293"/>
      <c r="O1293"/>
      <c r="Q1293"/>
      <c r="R1293"/>
      <c r="S1293"/>
      <c r="T1293"/>
      <c r="U1293"/>
      <c r="V1293"/>
      <c r="Z1293"/>
      <c r="AA1293"/>
    </row>
    <row r="1294" spans="7:27" x14ac:dyDescent="0.45">
      <c r="G1294"/>
      <c r="H1294"/>
      <c r="I1294"/>
      <c r="J1294"/>
      <c r="M1294"/>
      <c r="O1294"/>
      <c r="Q1294"/>
      <c r="R1294"/>
      <c r="S1294"/>
      <c r="T1294"/>
      <c r="U1294"/>
      <c r="V1294"/>
      <c r="Z1294"/>
      <c r="AA1294"/>
    </row>
    <row r="1295" spans="7:27" x14ac:dyDescent="0.45">
      <c r="G1295"/>
      <c r="H1295"/>
      <c r="I1295"/>
      <c r="J1295"/>
      <c r="M1295"/>
      <c r="O1295"/>
      <c r="Q1295"/>
      <c r="R1295"/>
      <c r="S1295"/>
      <c r="T1295"/>
      <c r="U1295"/>
      <c r="V1295"/>
      <c r="Z1295"/>
      <c r="AA1295"/>
    </row>
    <row r="1296" spans="7:27" x14ac:dyDescent="0.45">
      <c r="G1296"/>
      <c r="H1296"/>
      <c r="I1296"/>
      <c r="J1296"/>
      <c r="M1296"/>
      <c r="O1296"/>
      <c r="Q1296"/>
      <c r="R1296"/>
      <c r="S1296"/>
      <c r="T1296"/>
      <c r="U1296"/>
      <c r="V1296"/>
      <c r="Z1296"/>
      <c r="AA1296"/>
    </row>
    <row r="1297" spans="7:27" x14ac:dyDescent="0.45">
      <c r="G1297"/>
      <c r="H1297"/>
      <c r="I1297"/>
      <c r="J1297"/>
      <c r="M1297"/>
      <c r="O1297"/>
      <c r="Q1297"/>
      <c r="R1297"/>
      <c r="S1297"/>
      <c r="T1297"/>
      <c r="U1297"/>
      <c r="V1297"/>
      <c r="Z1297"/>
      <c r="AA1297"/>
    </row>
    <row r="1298" spans="7:27" x14ac:dyDescent="0.45">
      <c r="G1298"/>
      <c r="H1298"/>
      <c r="I1298"/>
      <c r="J1298"/>
      <c r="M1298"/>
      <c r="O1298"/>
      <c r="Q1298"/>
      <c r="R1298"/>
      <c r="S1298"/>
      <c r="T1298"/>
      <c r="U1298"/>
      <c r="V1298"/>
      <c r="Z1298"/>
      <c r="AA1298"/>
    </row>
    <row r="1299" spans="7:27" x14ac:dyDescent="0.45">
      <c r="G1299"/>
      <c r="H1299"/>
      <c r="I1299"/>
      <c r="J1299"/>
      <c r="M1299"/>
      <c r="O1299"/>
      <c r="Q1299"/>
      <c r="R1299"/>
      <c r="S1299"/>
      <c r="T1299"/>
      <c r="U1299"/>
      <c r="V1299"/>
      <c r="Z1299"/>
      <c r="AA1299"/>
    </row>
    <row r="1300" spans="7:27" x14ac:dyDescent="0.45">
      <c r="G1300"/>
      <c r="H1300"/>
      <c r="I1300"/>
      <c r="J1300"/>
      <c r="M1300"/>
      <c r="O1300"/>
      <c r="Q1300"/>
      <c r="R1300"/>
      <c r="S1300"/>
      <c r="T1300"/>
      <c r="U1300"/>
      <c r="V1300"/>
      <c r="Z1300"/>
      <c r="AA1300"/>
    </row>
    <row r="1301" spans="7:27" x14ac:dyDescent="0.45">
      <c r="G1301"/>
      <c r="H1301"/>
      <c r="I1301"/>
      <c r="J1301"/>
      <c r="M1301"/>
      <c r="O1301"/>
      <c r="Q1301"/>
      <c r="R1301"/>
      <c r="S1301"/>
      <c r="T1301"/>
      <c r="U1301"/>
      <c r="V1301"/>
      <c r="Z1301"/>
      <c r="AA1301"/>
    </row>
    <row r="1302" spans="7:27" x14ac:dyDescent="0.45">
      <c r="G1302"/>
      <c r="H1302"/>
      <c r="I1302"/>
      <c r="J1302"/>
      <c r="M1302"/>
      <c r="O1302"/>
      <c r="Q1302"/>
      <c r="R1302"/>
      <c r="S1302"/>
      <c r="T1302"/>
      <c r="U1302"/>
      <c r="V1302"/>
      <c r="Z1302"/>
      <c r="AA1302"/>
    </row>
    <row r="1303" spans="7:27" x14ac:dyDescent="0.45">
      <c r="G1303"/>
      <c r="H1303"/>
      <c r="I1303"/>
      <c r="J1303"/>
      <c r="M1303"/>
      <c r="O1303"/>
      <c r="Q1303"/>
      <c r="R1303"/>
      <c r="S1303"/>
      <c r="T1303"/>
      <c r="U1303"/>
      <c r="V1303"/>
      <c r="Z1303"/>
      <c r="AA1303"/>
    </row>
    <row r="1304" spans="7:27" x14ac:dyDescent="0.45">
      <c r="G1304"/>
      <c r="H1304"/>
      <c r="I1304"/>
      <c r="J1304"/>
      <c r="M1304"/>
      <c r="O1304"/>
      <c r="Q1304"/>
      <c r="R1304"/>
      <c r="S1304"/>
      <c r="T1304"/>
      <c r="U1304"/>
      <c r="V1304"/>
      <c r="Z1304"/>
      <c r="AA1304"/>
    </row>
    <row r="1305" spans="7:27" x14ac:dyDescent="0.45">
      <c r="G1305"/>
      <c r="H1305"/>
      <c r="I1305"/>
      <c r="J1305"/>
      <c r="M1305"/>
      <c r="O1305"/>
      <c r="Q1305"/>
      <c r="R1305"/>
      <c r="S1305"/>
      <c r="T1305"/>
      <c r="U1305"/>
      <c r="V1305"/>
      <c r="Z1305"/>
      <c r="AA1305"/>
    </row>
    <row r="1306" spans="7:27" x14ac:dyDescent="0.45">
      <c r="G1306"/>
      <c r="H1306"/>
      <c r="I1306"/>
      <c r="J1306"/>
      <c r="M1306"/>
      <c r="O1306"/>
      <c r="Q1306"/>
      <c r="R1306"/>
      <c r="S1306"/>
      <c r="T1306"/>
      <c r="U1306"/>
      <c r="V1306"/>
      <c r="Z1306"/>
      <c r="AA1306"/>
    </row>
    <row r="1307" spans="7:27" x14ac:dyDescent="0.45">
      <c r="G1307"/>
      <c r="H1307"/>
      <c r="I1307"/>
      <c r="J1307"/>
      <c r="M1307"/>
      <c r="O1307"/>
      <c r="Q1307"/>
      <c r="R1307"/>
      <c r="S1307"/>
      <c r="T1307"/>
      <c r="U1307"/>
      <c r="V1307"/>
      <c r="Z1307"/>
      <c r="AA1307"/>
    </row>
    <row r="1308" spans="7:27" x14ac:dyDescent="0.45">
      <c r="G1308"/>
      <c r="H1308"/>
      <c r="I1308"/>
      <c r="J1308"/>
      <c r="M1308"/>
      <c r="O1308"/>
      <c r="Q1308"/>
      <c r="R1308"/>
      <c r="S1308"/>
      <c r="T1308"/>
      <c r="U1308"/>
      <c r="V1308"/>
      <c r="Z1308"/>
      <c r="AA1308"/>
    </row>
    <row r="1309" spans="7:27" x14ac:dyDescent="0.45">
      <c r="G1309"/>
      <c r="H1309"/>
      <c r="I1309"/>
      <c r="J1309"/>
      <c r="M1309"/>
      <c r="O1309"/>
      <c r="Q1309"/>
      <c r="R1309"/>
      <c r="S1309"/>
      <c r="T1309"/>
      <c r="U1309"/>
      <c r="V1309"/>
      <c r="Z1309"/>
      <c r="AA1309"/>
    </row>
    <row r="1310" spans="7:27" x14ac:dyDescent="0.45">
      <c r="G1310"/>
      <c r="H1310"/>
      <c r="I1310"/>
      <c r="J1310"/>
      <c r="M1310"/>
      <c r="O1310"/>
      <c r="Q1310"/>
      <c r="R1310"/>
      <c r="S1310"/>
      <c r="T1310"/>
      <c r="U1310"/>
      <c r="V1310"/>
      <c r="Z1310"/>
      <c r="AA1310"/>
    </row>
    <row r="1311" spans="7:27" x14ac:dyDescent="0.45">
      <c r="G1311"/>
      <c r="H1311"/>
      <c r="I1311"/>
      <c r="J1311"/>
      <c r="M1311"/>
      <c r="O1311"/>
      <c r="Q1311"/>
      <c r="R1311"/>
      <c r="S1311"/>
      <c r="T1311"/>
      <c r="U1311"/>
      <c r="V1311"/>
      <c r="Z1311"/>
      <c r="AA1311"/>
    </row>
    <row r="1312" spans="7:27" x14ac:dyDescent="0.45">
      <c r="G1312"/>
      <c r="H1312"/>
      <c r="I1312"/>
      <c r="J1312"/>
      <c r="M1312"/>
      <c r="O1312"/>
      <c r="Q1312"/>
      <c r="R1312"/>
      <c r="S1312"/>
      <c r="T1312"/>
      <c r="U1312"/>
      <c r="V1312"/>
      <c r="Z1312"/>
      <c r="AA1312"/>
    </row>
    <row r="1313" spans="7:27" x14ac:dyDescent="0.45">
      <c r="G1313"/>
      <c r="H1313"/>
      <c r="I1313"/>
      <c r="J1313"/>
      <c r="M1313"/>
      <c r="O1313"/>
      <c r="Q1313"/>
      <c r="R1313"/>
      <c r="S1313"/>
      <c r="T1313"/>
      <c r="U1313"/>
      <c r="V1313"/>
      <c r="Z1313"/>
      <c r="AA1313"/>
    </row>
    <row r="1314" spans="7:27" x14ac:dyDescent="0.45">
      <c r="G1314"/>
      <c r="H1314"/>
      <c r="I1314"/>
      <c r="J1314"/>
      <c r="M1314"/>
      <c r="O1314"/>
      <c r="Q1314"/>
      <c r="R1314"/>
      <c r="S1314"/>
      <c r="T1314"/>
      <c r="U1314"/>
      <c r="V1314"/>
      <c r="Z1314"/>
      <c r="AA1314"/>
    </row>
    <row r="1315" spans="7:27" x14ac:dyDescent="0.45">
      <c r="G1315"/>
      <c r="H1315"/>
      <c r="I1315"/>
      <c r="J1315"/>
      <c r="M1315"/>
      <c r="O1315"/>
      <c r="Q1315"/>
      <c r="R1315"/>
      <c r="S1315"/>
      <c r="T1315"/>
      <c r="U1315"/>
      <c r="V1315"/>
      <c r="Z1315"/>
      <c r="AA1315"/>
    </row>
    <row r="1316" spans="7:27" x14ac:dyDescent="0.45">
      <c r="G1316"/>
      <c r="H1316"/>
      <c r="I1316"/>
      <c r="J1316"/>
      <c r="M1316"/>
      <c r="O1316"/>
      <c r="Q1316"/>
      <c r="R1316"/>
      <c r="S1316"/>
      <c r="T1316"/>
      <c r="U1316"/>
      <c r="V1316"/>
      <c r="Z1316"/>
      <c r="AA1316"/>
    </row>
    <row r="1317" spans="7:27" x14ac:dyDescent="0.45">
      <c r="G1317"/>
      <c r="H1317"/>
      <c r="I1317"/>
      <c r="J1317"/>
      <c r="M1317"/>
      <c r="O1317"/>
      <c r="Q1317"/>
      <c r="R1317"/>
      <c r="S1317"/>
      <c r="T1317"/>
      <c r="U1317"/>
      <c r="V1317"/>
      <c r="Z1317"/>
      <c r="AA1317"/>
    </row>
    <row r="1318" spans="7:27" x14ac:dyDescent="0.45">
      <c r="G1318"/>
      <c r="H1318"/>
      <c r="I1318"/>
      <c r="J1318"/>
      <c r="M1318"/>
      <c r="O1318"/>
      <c r="Q1318"/>
      <c r="R1318"/>
      <c r="S1318"/>
      <c r="T1318"/>
      <c r="U1318"/>
      <c r="V1318"/>
      <c r="Z1318"/>
      <c r="AA1318"/>
    </row>
    <row r="1319" spans="7:27" x14ac:dyDescent="0.45">
      <c r="G1319"/>
      <c r="H1319"/>
      <c r="I1319"/>
      <c r="J1319"/>
      <c r="M1319"/>
      <c r="O1319"/>
      <c r="Q1319"/>
      <c r="R1319"/>
      <c r="S1319"/>
      <c r="T1319"/>
      <c r="U1319"/>
      <c r="V1319"/>
      <c r="Z1319"/>
      <c r="AA1319"/>
    </row>
    <row r="1320" spans="7:27" x14ac:dyDescent="0.45">
      <c r="G1320"/>
      <c r="H1320"/>
      <c r="I1320"/>
      <c r="J1320"/>
      <c r="M1320"/>
      <c r="O1320"/>
      <c r="Q1320"/>
      <c r="R1320"/>
      <c r="S1320"/>
      <c r="T1320"/>
      <c r="U1320"/>
      <c r="V1320"/>
      <c r="Z1320"/>
      <c r="AA1320"/>
    </row>
    <row r="1321" spans="7:27" x14ac:dyDescent="0.45">
      <c r="G1321"/>
      <c r="H1321"/>
      <c r="I1321"/>
      <c r="J1321"/>
      <c r="M1321"/>
      <c r="O1321"/>
      <c r="Q1321"/>
      <c r="R1321"/>
      <c r="S1321"/>
      <c r="T1321"/>
      <c r="U1321"/>
      <c r="V1321"/>
      <c r="Z1321"/>
      <c r="AA1321"/>
    </row>
    <row r="1322" spans="7:27" x14ac:dyDescent="0.45">
      <c r="G1322"/>
      <c r="H1322"/>
      <c r="I1322"/>
      <c r="J1322"/>
      <c r="M1322"/>
      <c r="O1322"/>
      <c r="Q1322"/>
      <c r="R1322"/>
      <c r="S1322"/>
      <c r="T1322"/>
      <c r="U1322"/>
      <c r="V1322"/>
      <c r="Z1322"/>
      <c r="AA1322"/>
    </row>
    <row r="1323" spans="7:27" x14ac:dyDescent="0.45">
      <c r="G1323"/>
      <c r="H1323"/>
      <c r="I1323"/>
      <c r="J1323"/>
      <c r="M1323"/>
      <c r="O1323"/>
      <c r="Q1323"/>
      <c r="R1323"/>
      <c r="S1323"/>
      <c r="T1323"/>
      <c r="U1323"/>
      <c r="V1323"/>
      <c r="Z1323"/>
      <c r="AA1323"/>
    </row>
    <row r="1324" spans="7:27" x14ac:dyDescent="0.45">
      <c r="G1324"/>
      <c r="H1324"/>
      <c r="I1324"/>
      <c r="J1324"/>
      <c r="M1324"/>
      <c r="O1324"/>
      <c r="Q1324"/>
      <c r="R1324"/>
      <c r="S1324"/>
      <c r="T1324"/>
      <c r="U1324"/>
      <c r="V1324"/>
      <c r="Z1324"/>
      <c r="AA1324"/>
    </row>
    <row r="1325" spans="7:27" x14ac:dyDescent="0.45">
      <c r="G1325"/>
      <c r="H1325"/>
      <c r="I1325"/>
      <c r="J1325"/>
      <c r="M1325"/>
      <c r="O1325"/>
      <c r="Q1325"/>
      <c r="R1325"/>
      <c r="S1325"/>
      <c r="T1325"/>
      <c r="U1325"/>
      <c r="V1325"/>
      <c r="Z1325"/>
      <c r="AA1325"/>
    </row>
    <row r="1326" spans="7:27" x14ac:dyDescent="0.45">
      <c r="G1326"/>
      <c r="H1326"/>
      <c r="I1326"/>
      <c r="J1326"/>
      <c r="M1326"/>
      <c r="O1326"/>
      <c r="Q1326"/>
      <c r="R1326"/>
      <c r="S1326"/>
      <c r="T1326"/>
      <c r="U1326"/>
      <c r="V1326"/>
      <c r="Z1326"/>
      <c r="AA1326"/>
    </row>
    <row r="1327" spans="7:27" x14ac:dyDescent="0.45">
      <c r="G1327"/>
      <c r="H1327"/>
      <c r="I1327"/>
      <c r="J1327"/>
      <c r="M1327"/>
      <c r="O1327"/>
      <c r="Q1327"/>
      <c r="R1327"/>
      <c r="S1327"/>
      <c r="T1327"/>
      <c r="U1327"/>
      <c r="V1327"/>
      <c r="Z1327"/>
      <c r="AA1327"/>
    </row>
    <row r="1328" spans="7:27" x14ac:dyDescent="0.45">
      <c r="G1328"/>
      <c r="H1328"/>
      <c r="I1328"/>
      <c r="J1328"/>
      <c r="M1328"/>
      <c r="O1328"/>
      <c r="Q1328"/>
      <c r="R1328"/>
      <c r="S1328"/>
      <c r="T1328"/>
      <c r="U1328"/>
      <c r="V1328"/>
      <c r="Z1328"/>
      <c r="AA1328"/>
    </row>
    <row r="1329" spans="7:27" x14ac:dyDescent="0.45">
      <c r="G1329"/>
      <c r="H1329"/>
      <c r="I1329"/>
      <c r="J1329"/>
      <c r="M1329"/>
      <c r="O1329"/>
      <c r="Q1329"/>
      <c r="R1329"/>
      <c r="S1329"/>
      <c r="T1329"/>
      <c r="U1329"/>
      <c r="V1329"/>
      <c r="Z1329"/>
      <c r="AA1329"/>
    </row>
    <row r="1330" spans="7:27" x14ac:dyDescent="0.45">
      <c r="G1330"/>
      <c r="H1330"/>
      <c r="I1330"/>
      <c r="J1330"/>
      <c r="M1330"/>
      <c r="O1330"/>
      <c r="Q1330"/>
      <c r="R1330"/>
      <c r="S1330"/>
      <c r="T1330"/>
      <c r="U1330"/>
      <c r="V1330"/>
      <c r="Z1330"/>
      <c r="AA1330"/>
    </row>
    <row r="1331" spans="7:27" x14ac:dyDescent="0.45">
      <c r="G1331"/>
      <c r="H1331"/>
      <c r="I1331"/>
      <c r="J1331"/>
      <c r="M1331"/>
      <c r="O1331"/>
      <c r="Q1331"/>
      <c r="R1331"/>
      <c r="S1331"/>
      <c r="T1331"/>
      <c r="U1331"/>
      <c r="V1331"/>
      <c r="Z1331"/>
      <c r="AA1331"/>
    </row>
    <row r="1332" spans="7:27" x14ac:dyDescent="0.45">
      <c r="G1332"/>
      <c r="H1332"/>
      <c r="I1332"/>
      <c r="J1332"/>
      <c r="M1332"/>
      <c r="O1332"/>
      <c r="Q1332"/>
      <c r="R1332"/>
      <c r="S1332"/>
      <c r="T1332"/>
      <c r="U1332"/>
      <c r="V1332"/>
      <c r="Z1332"/>
      <c r="AA1332"/>
    </row>
    <row r="1333" spans="7:27" x14ac:dyDescent="0.45">
      <c r="G1333"/>
      <c r="H1333"/>
      <c r="I1333"/>
      <c r="J1333"/>
      <c r="M1333"/>
      <c r="O1333"/>
      <c r="Q1333"/>
      <c r="R1333"/>
      <c r="S1333"/>
      <c r="T1333"/>
      <c r="U1333"/>
      <c r="V1333"/>
      <c r="Z1333"/>
      <c r="AA1333"/>
    </row>
    <row r="1334" spans="7:27" x14ac:dyDescent="0.45">
      <c r="G1334"/>
      <c r="H1334"/>
      <c r="I1334"/>
      <c r="J1334"/>
      <c r="M1334"/>
      <c r="O1334"/>
      <c r="Q1334"/>
      <c r="R1334"/>
      <c r="S1334"/>
      <c r="T1334"/>
      <c r="U1334"/>
      <c r="V1334"/>
      <c r="Z1334"/>
      <c r="AA1334"/>
    </row>
    <row r="1335" spans="7:27" x14ac:dyDescent="0.45">
      <c r="G1335"/>
      <c r="H1335"/>
      <c r="I1335"/>
      <c r="J1335"/>
      <c r="M1335"/>
      <c r="O1335"/>
      <c r="Q1335"/>
      <c r="R1335"/>
      <c r="S1335"/>
      <c r="T1335"/>
      <c r="U1335"/>
      <c r="V1335"/>
      <c r="Z1335"/>
      <c r="AA1335"/>
    </row>
    <row r="1336" spans="7:27" x14ac:dyDescent="0.45">
      <c r="G1336"/>
      <c r="H1336"/>
      <c r="I1336"/>
      <c r="J1336"/>
      <c r="M1336"/>
      <c r="O1336"/>
      <c r="Q1336"/>
      <c r="R1336"/>
      <c r="S1336"/>
      <c r="T1336"/>
      <c r="U1336"/>
      <c r="V1336"/>
      <c r="Z1336"/>
      <c r="AA1336"/>
    </row>
    <row r="1337" spans="7:27" x14ac:dyDescent="0.45">
      <c r="G1337"/>
      <c r="H1337"/>
      <c r="I1337"/>
      <c r="J1337"/>
      <c r="M1337"/>
      <c r="O1337"/>
      <c r="Q1337"/>
      <c r="R1337"/>
      <c r="S1337"/>
      <c r="T1337"/>
      <c r="U1337"/>
      <c r="V1337"/>
      <c r="Z1337"/>
      <c r="AA1337"/>
    </row>
    <row r="1338" spans="7:27" x14ac:dyDescent="0.45">
      <c r="G1338"/>
      <c r="H1338"/>
      <c r="I1338"/>
      <c r="J1338"/>
      <c r="M1338"/>
      <c r="O1338"/>
      <c r="Q1338"/>
      <c r="R1338"/>
      <c r="S1338"/>
      <c r="T1338"/>
      <c r="U1338"/>
      <c r="V1338"/>
      <c r="Z1338"/>
      <c r="AA1338"/>
    </row>
    <row r="1339" spans="7:27" x14ac:dyDescent="0.45">
      <c r="G1339"/>
      <c r="H1339"/>
      <c r="I1339"/>
      <c r="J1339"/>
      <c r="M1339"/>
      <c r="O1339"/>
      <c r="Q1339"/>
      <c r="R1339"/>
      <c r="S1339"/>
      <c r="T1339"/>
      <c r="U1339"/>
      <c r="V1339"/>
      <c r="Z1339"/>
      <c r="AA1339"/>
    </row>
    <row r="1340" spans="7:27" x14ac:dyDescent="0.45">
      <c r="G1340"/>
      <c r="H1340"/>
      <c r="I1340"/>
      <c r="J1340"/>
      <c r="M1340"/>
      <c r="O1340"/>
      <c r="Q1340"/>
      <c r="R1340"/>
      <c r="S1340"/>
      <c r="T1340"/>
      <c r="U1340"/>
      <c r="V1340"/>
      <c r="Z1340"/>
      <c r="AA1340"/>
    </row>
    <row r="1341" spans="7:27" x14ac:dyDescent="0.45">
      <c r="G1341"/>
      <c r="H1341"/>
      <c r="I1341"/>
      <c r="J1341"/>
      <c r="M1341"/>
      <c r="O1341"/>
      <c r="Q1341"/>
      <c r="R1341"/>
      <c r="S1341"/>
      <c r="T1341"/>
      <c r="U1341"/>
      <c r="V1341"/>
      <c r="Z1341"/>
      <c r="AA1341"/>
    </row>
    <row r="1342" spans="7:27" x14ac:dyDescent="0.45">
      <c r="G1342"/>
      <c r="H1342"/>
      <c r="I1342"/>
      <c r="J1342"/>
      <c r="M1342"/>
      <c r="O1342"/>
      <c r="Q1342"/>
      <c r="R1342"/>
      <c r="S1342"/>
      <c r="T1342"/>
      <c r="U1342"/>
      <c r="V1342"/>
      <c r="Z1342"/>
      <c r="AA1342"/>
    </row>
    <row r="1343" spans="7:27" x14ac:dyDescent="0.45">
      <c r="G1343"/>
      <c r="H1343"/>
      <c r="I1343"/>
      <c r="J1343"/>
      <c r="M1343"/>
      <c r="O1343"/>
      <c r="Q1343"/>
      <c r="R1343"/>
      <c r="S1343"/>
      <c r="T1343"/>
      <c r="U1343"/>
      <c r="V1343"/>
      <c r="Z1343"/>
      <c r="AA1343"/>
    </row>
    <row r="1344" spans="7:27" x14ac:dyDescent="0.45">
      <c r="G1344"/>
      <c r="H1344"/>
      <c r="I1344"/>
      <c r="J1344"/>
      <c r="M1344"/>
      <c r="O1344"/>
      <c r="Q1344"/>
      <c r="R1344"/>
      <c r="S1344"/>
      <c r="T1344"/>
      <c r="U1344"/>
      <c r="V1344"/>
      <c r="Z1344"/>
      <c r="AA1344"/>
    </row>
    <row r="1345" spans="7:27" x14ac:dyDescent="0.45">
      <c r="G1345"/>
      <c r="H1345"/>
      <c r="I1345"/>
      <c r="J1345"/>
      <c r="M1345"/>
      <c r="O1345"/>
      <c r="Q1345"/>
      <c r="R1345"/>
      <c r="S1345"/>
      <c r="T1345"/>
      <c r="U1345"/>
      <c r="V1345"/>
      <c r="Z1345"/>
      <c r="AA1345"/>
    </row>
    <row r="1346" spans="7:27" x14ac:dyDescent="0.45">
      <c r="G1346"/>
      <c r="H1346"/>
      <c r="I1346"/>
      <c r="J1346"/>
      <c r="M1346"/>
      <c r="O1346"/>
      <c r="Q1346"/>
      <c r="R1346"/>
      <c r="S1346"/>
      <c r="T1346"/>
      <c r="U1346"/>
      <c r="V1346"/>
      <c r="Z1346"/>
      <c r="AA1346"/>
    </row>
    <row r="1347" spans="7:27" x14ac:dyDescent="0.45">
      <c r="G1347"/>
      <c r="H1347"/>
      <c r="I1347"/>
      <c r="J1347"/>
      <c r="M1347"/>
      <c r="O1347"/>
      <c r="Q1347"/>
      <c r="R1347"/>
      <c r="S1347"/>
      <c r="T1347"/>
      <c r="U1347"/>
      <c r="V1347"/>
      <c r="Z1347"/>
      <c r="AA1347"/>
    </row>
    <row r="1348" spans="7:27" x14ac:dyDescent="0.45">
      <c r="G1348"/>
      <c r="H1348"/>
      <c r="I1348"/>
      <c r="J1348"/>
      <c r="M1348"/>
      <c r="O1348"/>
      <c r="Q1348"/>
      <c r="R1348"/>
      <c r="S1348"/>
      <c r="T1348"/>
      <c r="U1348"/>
      <c r="V1348"/>
      <c r="Z1348"/>
      <c r="AA1348"/>
    </row>
    <row r="1349" spans="7:27" x14ac:dyDescent="0.45">
      <c r="G1349"/>
      <c r="H1349"/>
      <c r="I1349"/>
      <c r="J1349"/>
      <c r="M1349"/>
      <c r="O1349"/>
      <c r="Q1349"/>
      <c r="R1349"/>
      <c r="S1349"/>
      <c r="T1349"/>
      <c r="U1349"/>
      <c r="V1349"/>
      <c r="Z1349"/>
      <c r="AA1349"/>
    </row>
    <row r="1350" spans="7:27" x14ac:dyDescent="0.45">
      <c r="G1350"/>
      <c r="H1350"/>
      <c r="I1350"/>
      <c r="J1350"/>
      <c r="M1350"/>
      <c r="O1350"/>
      <c r="Q1350"/>
      <c r="R1350"/>
      <c r="S1350"/>
      <c r="T1350"/>
      <c r="U1350"/>
      <c r="V1350"/>
      <c r="Z1350"/>
      <c r="AA1350"/>
    </row>
    <row r="1351" spans="7:27" x14ac:dyDescent="0.45">
      <c r="G1351"/>
      <c r="H1351"/>
      <c r="I1351"/>
      <c r="J1351"/>
      <c r="M1351"/>
      <c r="O1351"/>
      <c r="Q1351"/>
      <c r="R1351"/>
      <c r="S1351"/>
      <c r="T1351"/>
      <c r="U1351"/>
      <c r="V1351"/>
      <c r="Z1351"/>
      <c r="AA1351"/>
    </row>
    <row r="1352" spans="7:27" x14ac:dyDescent="0.45">
      <c r="G1352"/>
      <c r="H1352"/>
      <c r="I1352"/>
      <c r="J1352"/>
      <c r="M1352"/>
      <c r="O1352"/>
      <c r="Q1352"/>
      <c r="R1352"/>
      <c r="S1352"/>
      <c r="T1352"/>
      <c r="U1352"/>
      <c r="V1352"/>
      <c r="Z1352"/>
      <c r="AA1352"/>
    </row>
    <row r="1353" spans="7:27" x14ac:dyDescent="0.45">
      <c r="G1353"/>
      <c r="H1353"/>
      <c r="I1353"/>
      <c r="J1353"/>
      <c r="M1353"/>
      <c r="O1353"/>
      <c r="Q1353"/>
      <c r="R1353"/>
      <c r="S1353"/>
      <c r="T1353"/>
      <c r="U1353"/>
      <c r="V1353"/>
      <c r="Z1353"/>
      <c r="AA1353"/>
    </row>
    <row r="1354" spans="7:27" x14ac:dyDescent="0.45">
      <c r="G1354"/>
      <c r="H1354"/>
      <c r="I1354"/>
      <c r="J1354"/>
      <c r="M1354"/>
      <c r="O1354"/>
      <c r="Q1354"/>
      <c r="R1354"/>
      <c r="S1354"/>
      <c r="T1354"/>
      <c r="U1354"/>
      <c r="V1354"/>
      <c r="Z1354"/>
      <c r="AA1354"/>
    </row>
    <row r="1355" spans="7:27" x14ac:dyDescent="0.45">
      <c r="G1355"/>
      <c r="H1355"/>
      <c r="I1355"/>
      <c r="J1355"/>
      <c r="M1355"/>
      <c r="O1355"/>
      <c r="Q1355"/>
      <c r="R1355"/>
      <c r="S1355"/>
      <c r="T1355"/>
      <c r="U1355"/>
      <c r="V1355"/>
      <c r="Z1355"/>
      <c r="AA1355"/>
    </row>
    <row r="1356" spans="7:27" x14ac:dyDescent="0.45">
      <c r="G1356"/>
      <c r="H1356"/>
      <c r="I1356"/>
      <c r="J1356"/>
      <c r="M1356"/>
      <c r="O1356"/>
      <c r="Q1356"/>
      <c r="R1356"/>
      <c r="S1356"/>
      <c r="T1356"/>
      <c r="U1356"/>
      <c r="V1356"/>
      <c r="Z1356"/>
      <c r="AA1356"/>
    </row>
    <row r="1357" spans="7:27" x14ac:dyDescent="0.45">
      <c r="G1357"/>
      <c r="H1357"/>
      <c r="I1357"/>
      <c r="J1357"/>
      <c r="M1357"/>
      <c r="O1357"/>
      <c r="Q1357"/>
      <c r="R1357"/>
      <c r="S1357"/>
      <c r="T1357"/>
      <c r="U1357"/>
      <c r="V1357"/>
      <c r="Z1357"/>
      <c r="AA1357"/>
    </row>
    <row r="1358" spans="7:27" x14ac:dyDescent="0.45">
      <c r="G1358"/>
      <c r="H1358"/>
      <c r="I1358"/>
      <c r="J1358"/>
      <c r="M1358"/>
      <c r="O1358"/>
      <c r="Q1358"/>
      <c r="R1358"/>
      <c r="S1358"/>
      <c r="T1358"/>
      <c r="U1358"/>
      <c r="V1358"/>
      <c r="Z1358"/>
      <c r="AA1358"/>
    </row>
    <row r="1359" spans="7:27" x14ac:dyDescent="0.45">
      <c r="G1359"/>
      <c r="H1359"/>
      <c r="I1359"/>
      <c r="J1359"/>
      <c r="M1359"/>
      <c r="O1359"/>
      <c r="Q1359"/>
      <c r="R1359"/>
      <c r="S1359"/>
      <c r="T1359"/>
      <c r="U1359"/>
      <c r="V1359"/>
      <c r="Z1359"/>
      <c r="AA1359"/>
    </row>
    <row r="1360" spans="7:27" x14ac:dyDescent="0.45">
      <c r="G1360"/>
      <c r="H1360"/>
      <c r="I1360"/>
      <c r="J1360"/>
      <c r="M1360"/>
      <c r="O1360"/>
      <c r="Q1360"/>
      <c r="R1360"/>
      <c r="S1360"/>
      <c r="T1360"/>
      <c r="U1360"/>
      <c r="V1360"/>
      <c r="Z1360"/>
      <c r="AA1360"/>
    </row>
    <row r="1361" spans="7:27" x14ac:dyDescent="0.45">
      <c r="G1361"/>
      <c r="H1361"/>
      <c r="I1361"/>
      <c r="J1361"/>
      <c r="M1361"/>
      <c r="O1361"/>
      <c r="Q1361"/>
      <c r="R1361"/>
      <c r="S1361"/>
      <c r="T1361"/>
      <c r="U1361"/>
      <c r="V1361"/>
      <c r="Z1361"/>
      <c r="AA1361"/>
    </row>
    <row r="1362" spans="7:27" x14ac:dyDescent="0.45">
      <c r="G1362"/>
      <c r="H1362"/>
      <c r="I1362"/>
      <c r="J1362"/>
      <c r="M1362"/>
      <c r="O1362"/>
      <c r="Q1362"/>
      <c r="R1362"/>
      <c r="S1362"/>
      <c r="T1362"/>
      <c r="U1362"/>
      <c r="V1362"/>
      <c r="Z1362"/>
      <c r="AA1362"/>
    </row>
    <row r="1363" spans="7:27" x14ac:dyDescent="0.45">
      <c r="G1363"/>
      <c r="H1363"/>
      <c r="I1363"/>
      <c r="J1363"/>
      <c r="M1363"/>
      <c r="O1363"/>
      <c r="Q1363"/>
      <c r="R1363"/>
      <c r="S1363"/>
      <c r="T1363"/>
      <c r="U1363"/>
      <c r="V1363"/>
      <c r="Z1363"/>
      <c r="AA1363"/>
    </row>
    <row r="1364" spans="7:27" x14ac:dyDescent="0.45">
      <c r="G1364"/>
      <c r="H1364"/>
      <c r="I1364"/>
      <c r="J1364"/>
      <c r="M1364"/>
      <c r="O1364"/>
      <c r="Q1364"/>
      <c r="R1364"/>
      <c r="S1364"/>
      <c r="T1364"/>
      <c r="U1364"/>
      <c r="V1364"/>
      <c r="Z1364"/>
      <c r="AA1364"/>
    </row>
    <row r="1365" spans="7:27" x14ac:dyDescent="0.45">
      <c r="G1365"/>
      <c r="H1365"/>
      <c r="I1365"/>
      <c r="J1365"/>
      <c r="M1365"/>
      <c r="O1365"/>
      <c r="Q1365"/>
      <c r="R1365"/>
      <c r="S1365"/>
      <c r="T1365"/>
      <c r="U1365"/>
      <c r="V1365"/>
      <c r="Z1365"/>
      <c r="AA1365"/>
    </row>
    <row r="1366" spans="7:27" x14ac:dyDescent="0.45">
      <c r="G1366"/>
      <c r="H1366"/>
      <c r="I1366"/>
      <c r="J1366"/>
      <c r="M1366"/>
      <c r="O1366"/>
      <c r="Q1366"/>
      <c r="R1366"/>
      <c r="S1366"/>
      <c r="T1366"/>
      <c r="U1366"/>
      <c r="V1366"/>
      <c r="Z1366"/>
      <c r="AA1366"/>
    </row>
    <row r="1367" spans="7:27" x14ac:dyDescent="0.45">
      <c r="G1367"/>
      <c r="H1367"/>
      <c r="I1367"/>
      <c r="J1367"/>
      <c r="M1367"/>
      <c r="O1367"/>
      <c r="Q1367"/>
      <c r="R1367"/>
      <c r="S1367"/>
      <c r="T1367"/>
      <c r="U1367"/>
      <c r="V1367"/>
      <c r="Z1367"/>
      <c r="AA1367"/>
    </row>
    <row r="1368" spans="7:27" x14ac:dyDescent="0.45">
      <c r="G1368"/>
      <c r="H1368"/>
      <c r="I1368"/>
      <c r="J1368"/>
      <c r="M1368"/>
      <c r="O1368"/>
      <c r="Q1368"/>
      <c r="R1368"/>
      <c r="S1368"/>
      <c r="T1368"/>
      <c r="U1368"/>
      <c r="V1368"/>
      <c r="Z1368"/>
      <c r="AA1368"/>
    </row>
    <row r="1369" spans="7:27" x14ac:dyDescent="0.45">
      <c r="G1369"/>
      <c r="H1369"/>
      <c r="I1369"/>
      <c r="J1369"/>
      <c r="M1369"/>
      <c r="O1369"/>
      <c r="Q1369"/>
      <c r="R1369"/>
      <c r="S1369"/>
      <c r="T1369"/>
      <c r="U1369"/>
      <c r="V1369"/>
      <c r="Z1369"/>
      <c r="AA1369"/>
    </row>
    <row r="1370" spans="7:27" x14ac:dyDescent="0.45">
      <c r="G1370"/>
      <c r="H1370"/>
      <c r="I1370"/>
      <c r="J1370"/>
      <c r="M1370"/>
      <c r="O1370"/>
      <c r="Q1370"/>
      <c r="R1370"/>
      <c r="S1370"/>
      <c r="T1370"/>
      <c r="U1370"/>
      <c r="V1370"/>
      <c r="Z1370"/>
      <c r="AA1370"/>
    </row>
    <row r="1371" spans="7:27" x14ac:dyDescent="0.45">
      <c r="G1371"/>
      <c r="H1371"/>
      <c r="I1371"/>
      <c r="J1371"/>
      <c r="M1371"/>
      <c r="O1371"/>
      <c r="Q1371"/>
      <c r="R1371"/>
      <c r="S1371"/>
      <c r="T1371"/>
      <c r="U1371"/>
      <c r="V1371"/>
      <c r="Z1371"/>
      <c r="AA1371"/>
    </row>
    <row r="1372" spans="7:27" x14ac:dyDescent="0.45">
      <c r="G1372"/>
      <c r="H1372"/>
      <c r="I1372"/>
      <c r="J1372"/>
      <c r="M1372"/>
      <c r="O1372"/>
      <c r="Q1372"/>
      <c r="R1372"/>
      <c r="S1372"/>
      <c r="T1372"/>
      <c r="U1372"/>
      <c r="V1372"/>
      <c r="Z1372"/>
      <c r="AA1372"/>
    </row>
    <row r="1373" spans="7:27" x14ac:dyDescent="0.45">
      <c r="G1373"/>
      <c r="H1373"/>
      <c r="I1373"/>
      <c r="J1373"/>
      <c r="M1373"/>
      <c r="O1373"/>
      <c r="Q1373"/>
      <c r="R1373"/>
      <c r="S1373"/>
      <c r="T1373"/>
      <c r="U1373"/>
      <c r="V1373"/>
      <c r="Z1373"/>
      <c r="AA1373"/>
    </row>
    <row r="1374" spans="7:27" x14ac:dyDescent="0.45">
      <c r="G1374"/>
      <c r="H1374"/>
      <c r="I1374"/>
      <c r="J1374"/>
      <c r="M1374"/>
      <c r="O1374"/>
      <c r="Q1374"/>
      <c r="R1374"/>
      <c r="S1374"/>
      <c r="T1374"/>
      <c r="U1374"/>
      <c r="V1374"/>
      <c r="Z1374"/>
      <c r="AA1374"/>
    </row>
    <row r="1375" spans="7:27" x14ac:dyDescent="0.45">
      <c r="G1375"/>
      <c r="H1375"/>
      <c r="I1375"/>
      <c r="J1375"/>
      <c r="M1375"/>
      <c r="O1375"/>
      <c r="Q1375"/>
      <c r="R1375"/>
      <c r="S1375"/>
      <c r="T1375"/>
      <c r="U1375"/>
      <c r="V1375"/>
      <c r="Z1375"/>
      <c r="AA1375"/>
    </row>
    <row r="1376" spans="7:27" x14ac:dyDescent="0.45">
      <c r="G1376"/>
      <c r="H1376"/>
      <c r="I1376"/>
      <c r="J1376"/>
      <c r="M1376"/>
      <c r="O1376"/>
      <c r="Q1376"/>
      <c r="R1376"/>
      <c r="S1376"/>
      <c r="T1376"/>
      <c r="U1376"/>
      <c r="V1376"/>
      <c r="Z1376"/>
      <c r="AA1376"/>
    </row>
    <row r="1377" spans="7:27" x14ac:dyDescent="0.45">
      <c r="G1377"/>
      <c r="H1377"/>
      <c r="I1377"/>
      <c r="J1377"/>
      <c r="M1377"/>
      <c r="O1377"/>
      <c r="Q1377"/>
      <c r="R1377"/>
      <c r="S1377"/>
      <c r="T1377"/>
      <c r="U1377"/>
      <c r="V1377"/>
      <c r="Z1377"/>
      <c r="AA1377"/>
    </row>
    <row r="1378" spans="7:27" x14ac:dyDescent="0.45">
      <c r="G1378"/>
      <c r="H1378"/>
      <c r="I1378"/>
      <c r="J1378"/>
      <c r="M1378"/>
      <c r="O1378"/>
      <c r="Q1378"/>
      <c r="R1378"/>
      <c r="S1378"/>
      <c r="T1378"/>
      <c r="U1378"/>
      <c r="V1378"/>
      <c r="Z1378"/>
      <c r="AA1378"/>
    </row>
    <row r="1379" spans="7:27" x14ac:dyDescent="0.45">
      <c r="G1379"/>
      <c r="H1379"/>
      <c r="I1379"/>
      <c r="J1379"/>
      <c r="M1379"/>
      <c r="O1379"/>
      <c r="Q1379"/>
      <c r="R1379"/>
      <c r="S1379"/>
      <c r="T1379"/>
      <c r="U1379"/>
      <c r="V1379"/>
      <c r="Z1379"/>
      <c r="AA1379"/>
    </row>
    <row r="1380" spans="7:27" x14ac:dyDescent="0.45">
      <c r="G1380"/>
      <c r="H1380"/>
      <c r="I1380"/>
      <c r="J1380"/>
      <c r="M1380"/>
      <c r="O1380"/>
      <c r="Q1380"/>
      <c r="R1380"/>
      <c r="S1380"/>
      <c r="T1380"/>
      <c r="U1380"/>
      <c r="V1380"/>
      <c r="Z1380"/>
      <c r="AA1380"/>
    </row>
    <row r="1381" spans="7:27" x14ac:dyDescent="0.45">
      <c r="G1381"/>
      <c r="H1381"/>
      <c r="I1381"/>
      <c r="J1381"/>
      <c r="M1381"/>
      <c r="O1381"/>
      <c r="Q1381"/>
      <c r="R1381"/>
      <c r="S1381"/>
      <c r="T1381"/>
      <c r="U1381"/>
      <c r="V1381"/>
      <c r="Z1381"/>
      <c r="AA1381"/>
    </row>
    <row r="1382" spans="7:27" x14ac:dyDescent="0.45">
      <c r="G1382"/>
      <c r="H1382"/>
      <c r="I1382"/>
      <c r="J1382"/>
      <c r="M1382"/>
      <c r="O1382"/>
      <c r="Q1382"/>
      <c r="R1382"/>
      <c r="S1382"/>
      <c r="T1382"/>
      <c r="U1382"/>
      <c r="V1382"/>
      <c r="Z1382"/>
      <c r="AA1382"/>
    </row>
    <row r="1383" spans="7:27" x14ac:dyDescent="0.45">
      <c r="G1383"/>
      <c r="H1383"/>
      <c r="I1383"/>
      <c r="J1383"/>
      <c r="M1383"/>
      <c r="O1383"/>
      <c r="Q1383"/>
      <c r="R1383"/>
      <c r="S1383"/>
      <c r="T1383"/>
      <c r="U1383"/>
      <c r="V1383"/>
      <c r="Z1383"/>
      <c r="AA1383"/>
    </row>
    <row r="1384" spans="7:27" x14ac:dyDescent="0.45">
      <c r="G1384"/>
      <c r="H1384"/>
      <c r="I1384"/>
      <c r="J1384"/>
      <c r="M1384"/>
      <c r="O1384"/>
      <c r="Q1384"/>
      <c r="R1384"/>
      <c r="S1384"/>
      <c r="T1384"/>
      <c r="U1384"/>
      <c r="V1384"/>
      <c r="Z1384"/>
      <c r="AA1384"/>
    </row>
    <row r="1385" spans="7:27" x14ac:dyDescent="0.45">
      <c r="G1385"/>
      <c r="H1385"/>
      <c r="I1385"/>
      <c r="J1385"/>
      <c r="M1385"/>
      <c r="O1385"/>
      <c r="Q1385"/>
      <c r="R1385"/>
      <c r="S1385"/>
      <c r="T1385"/>
      <c r="U1385"/>
      <c r="V1385"/>
      <c r="Z1385"/>
      <c r="AA1385"/>
    </row>
    <row r="1386" spans="7:27" x14ac:dyDescent="0.45">
      <c r="G1386"/>
      <c r="H1386"/>
      <c r="I1386"/>
      <c r="J1386"/>
      <c r="M1386"/>
      <c r="O1386"/>
      <c r="Q1386"/>
      <c r="R1386"/>
      <c r="S1386"/>
      <c r="T1386"/>
      <c r="U1386"/>
      <c r="V1386"/>
      <c r="Z1386"/>
      <c r="AA1386"/>
    </row>
    <row r="1387" spans="7:27" x14ac:dyDescent="0.45">
      <c r="G1387"/>
      <c r="H1387"/>
      <c r="I1387"/>
      <c r="J1387"/>
      <c r="M1387"/>
      <c r="O1387"/>
      <c r="Q1387"/>
      <c r="R1387"/>
      <c r="S1387"/>
      <c r="T1387"/>
      <c r="U1387"/>
      <c r="V1387"/>
      <c r="Z1387"/>
      <c r="AA1387"/>
    </row>
    <row r="1388" spans="7:27" x14ac:dyDescent="0.45">
      <c r="G1388"/>
      <c r="H1388"/>
      <c r="I1388"/>
      <c r="J1388"/>
      <c r="M1388"/>
      <c r="O1388"/>
      <c r="Q1388"/>
      <c r="R1388"/>
      <c r="S1388"/>
      <c r="T1388"/>
      <c r="U1388"/>
      <c r="V1388"/>
      <c r="Z1388"/>
      <c r="AA1388"/>
    </row>
    <row r="1389" spans="7:27" x14ac:dyDescent="0.45">
      <c r="G1389"/>
      <c r="H1389"/>
      <c r="I1389"/>
      <c r="J1389"/>
      <c r="M1389"/>
      <c r="O1389"/>
      <c r="Q1389"/>
      <c r="R1389"/>
      <c r="S1389"/>
      <c r="T1389"/>
      <c r="U1389"/>
      <c r="V1389"/>
      <c r="Z1389"/>
      <c r="AA1389"/>
    </row>
    <row r="1390" spans="7:27" x14ac:dyDescent="0.45">
      <c r="G1390"/>
      <c r="H1390"/>
      <c r="I1390"/>
      <c r="J1390"/>
      <c r="M1390"/>
      <c r="O1390"/>
      <c r="Q1390"/>
      <c r="R1390"/>
      <c r="S1390"/>
      <c r="T1390"/>
      <c r="U1390"/>
      <c r="V1390"/>
      <c r="Z1390"/>
      <c r="AA1390"/>
    </row>
    <row r="1391" spans="7:27" x14ac:dyDescent="0.45">
      <c r="G1391"/>
      <c r="H1391"/>
      <c r="I1391"/>
      <c r="J1391"/>
      <c r="M1391"/>
      <c r="O1391"/>
      <c r="Q1391"/>
      <c r="R1391"/>
      <c r="S1391"/>
      <c r="T1391"/>
      <c r="U1391"/>
      <c r="V1391"/>
      <c r="Z1391"/>
      <c r="AA1391"/>
    </row>
    <row r="1392" spans="7:27" x14ac:dyDescent="0.45">
      <c r="G1392"/>
      <c r="H1392"/>
      <c r="I1392"/>
      <c r="J1392"/>
      <c r="M1392"/>
      <c r="O1392"/>
      <c r="Q1392"/>
      <c r="R1392"/>
      <c r="S1392"/>
      <c r="T1392"/>
      <c r="U1392"/>
      <c r="V1392"/>
      <c r="Z1392"/>
      <c r="AA1392"/>
    </row>
    <row r="1393" spans="7:27" x14ac:dyDescent="0.45">
      <c r="G1393"/>
      <c r="H1393"/>
      <c r="I1393"/>
      <c r="J1393"/>
      <c r="M1393"/>
      <c r="O1393"/>
      <c r="Q1393"/>
      <c r="R1393"/>
      <c r="S1393"/>
      <c r="T1393"/>
      <c r="U1393"/>
      <c r="V1393"/>
      <c r="Z1393"/>
      <c r="AA1393"/>
    </row>
    <row r="1394" spans="7:27" x14ac:dyDescent="0.45">
      <c r="G1394"/>
      <c r="H1394"/>
      <c r="I1394"/>
      <c r="J1394"/>
      <c r="M1394"/>
      <c r="O1394"/>
      <c r="Q1394"/>
      <c r="R1394"/>
      <c r="S1394"/>
      <c r="T1394"/>
      <c r="U1394"/>
      <c r="V1394"/>
      <c r="Z1394"/>
      <c r="AA1394"/>
    </row>
    <row r="1395" spans="7:27" x14ac:dyDescent="0.45">
      <c r="G1395"/>
      <c r="H1395"/>
      <c r="I1395"/>
      <c r="J1395"/>
      <c r="M1395"/>
      <c r="O1395"/>
      <c r="Q1395"/>
      <c r="R1395"/>
      <c r="S1395"/>
      <c r="T1395"/>
      <c r="U1395"/>
      <c r="V1395"/>
      <c r="Z1395"/>
      <c r="AA1395"/>
    </row>
    <row r="1396" spans="7:27" x14ac:dyDescent="0.45">
      <c r="G1396"/>
      <c r="H1396"/>
      <c r="I1396"/>
      <c r="J1396"/>
      <c r="M1396"/>
      <c r="O1396"/>
      <c r="Q1396"/>
      <c r="R1396"/>
      <c r="S1396"/>
      <c r="T1396"/>
      <c r="U1396"/>
      <c r="V1396"/>
      <c r="Z1396"/>
      <c r="AA1396"/>
    </row>
    <row r="1397" spans="7:27" x14ac:dyDescent="0.45">
      <c r="G1397"/>
      <c r="H1397"/>
      <c r="I1397"/>
      <c r="J1397"/>
      <c r="M1397"/>
      <c r="O1397"/>
      <c r="Q1397"/>
      <c r="R1397"/>
      <c r="S1397"/>
      <c r="T1397"/>
      <c r="U1397"/>
      <c r="V1397"/>
      <c r="Z1397"/>
      <c r="AA1397"/>
    </row>
    <row r="1398" spans="7:27" x14ac:dyDescent="0.45">
      <c r="G1398"/>
      <c r="H1398"/>
      <c r="I1398"/>
      <c r="J1398"/>
      <c r="M1398"/>
      <c r="O1398"/>
      <c r="Q1398"/>
      <c r="R1398"/>
      <c r="S1398"/>
      <c r="T1398"/>
      <c r="U1398"/>
      <c r="V1398"/>
      <c r="Z1398"/>
      <c r="AA1398"/>
    </row>
    <row r="1399" spans="7:27" x14ac:dyDescent="0.45">
      <c r="G1399"/>
      <c r="H1399"/>
      <c r="I1399"/>
      <c r="J1399"/>
      <c r="M1399"/>
      <c r="O1399"/>
      <c r="Q1399"/>
      <c r="R1399"/>
      <c r="S1399"/>
      <c r="T1399"/>
      <c r="U1399"/>
      <c r="V1399"/>
      <c r="Z1399"/>
      <c r="AA1399"/>
    </row>
    <row r="1400" spans="7:27" x14ac:dyDescent="0.45">
      <c r="G1400"/>
      <c r="H1400"/>
      <c r="I1400"/>
      <c r="J1400"/>
      <c r="M1400"/>
      <c r="O1400"/>
      <c r="Q1400"/>
      <c r="R1400"/>
      <c r="S1400"/>
      <c r="T1400"/>
      <c r="U1400"/>
      <c r="V1400"/>
      <c r="Z1400"/>
      <c r="AA1400"/>
    </row>
    <row r="1401" spans="7:27" x14ac:dyDescent="0.45">
      <c r="G1401"/>
      <c r="H1401"/>
      <c r="I1401"/>
      <c r="J1401"/>
      <c r="M1401"/>
      <c r="O1401"/>
      <c r="Q1401"/>
      <c r="R1401"/>
      <c r="S1401"/>
      <c r="T1401"/>
      <c r="U1401"/>
      <c r="V1401"/>
      <c r="Z1401"/>
      <c r="AA1401"/>
    </row>
    <row r="1402" spans="7:27" x14ac:dyDescent="0.45">
      <c r="G1402"/>
      <c r="H1402"/>
      <c r="I1402"/>
      <c r="J1402"/>
      <c r="M1402"/>
      <c r="O1402"/>
      <c r="Q1402"/>
      <c r="R1402"/>
      <c r="S1402"/>
      <c r="T1402"/>
      <c r="U1402"/>
      <c r="V1402"/>
      <c r="Z1402"/>
      <c r="AA1402"/>
    </row>
    <row r="1403" spans="7:27" x14ac:dyDescent="0.45">
      <c r="G1403"/>
      <c r="H1403"/>
      <c r="I1403"/>
      <c r="J1403"/>
      <c r="M1403"/>
      <c r="O1403"/>
      <c r="Q1403"/>
      <c r="R1403"/>
      <c r="S1403"/>
      <c r="T1403"/>
      <c r="U1403"/>
      <c r="V1403"/>
      <c r="Z1403"/>
      <c r="AA1403"/>
    </row>
    <row r="1404" spans="7:27" x14ac:dyDescent="0.45">
      <c r="G1404"/>
      <c r="H1404"/>
      <c r="I1404"/>
      <c r="J1404"/>
      <c r="M1404"/>
      <c r="O1404"/>
      <c r="Q1404"/>
      <c r="R1404"/>
      <c r="S1404"/>
      <c r="T1404"/>
      <c r="U1404"/>
      <c r="V1404"/>
      <c r="Z1404"/>
      <c r="AA1404"/>
    </row>
    <row r="1405" spans="7:27" x14ac:dyDescent="0.45">
      <c r="G1405"/>
      <c r="H1405"/>
      <c r="I1405"/>
      <c r="J1405"/>
      <c r="M1405"/>
      <c r="O1405"/>
      <c r="Q1405"/>
      <c r="R1405"/>
      <c r="S1405"/>
      <c r="T1405"/>
      <c r="U1405"/>
      <c r="V1405"/>
      <c r="Z1405"/>
      <c r="AA1405"/>
    </row>
    <row r="1406" spans="7:27" x14ac:dyDescent="0.45">
      <c r="G1406"/>
      <c r="H1406"/>
      <c r="I1406"/>
      <c r="J1406"/>
      <c r="M1406"/>
      <c r="O1406"/>
      <c r="Q1406"/>
      <c r="R1406"/>
      <c r="S1406"/>
      <c r="T1406"/>
      <c r="U1406"/>
      <c r="V1406"/>
      <c r="Z1406"/>
      <c r="AA1406"/>
    </row>
    <row r="1407" spans="7:27" x14ac:dyDescent="0.45">
      <c r="G1407"/>
      <c r="H1407"/>
      <c r="I1407"/>
      <c r="J1407"/>
      <c r="M1407"/>
      <c r="O1407"/>
      <c r="Q1407"/>
      <c r="R1407"/>
      <c r="S1407"/>
      <c r="T1407"/>
      <c r="U1407"/>
      <c r="V1407"/>
      <c r="Z1407"/>
      <c r="AA1407"/>
    </row>
    <row r="1408" spans="7:27" x14ac:dyDescent="0.45">
      <c r="G1408"/>
      <c r="H1408"/>
      <c r="I1408"/>
      <c r="J1408"/>
      <c r="M1408"/>
      <c r="O1408"/>
      <c r="Q1408"/>
      <c r="R1408"/>
      <c r="S1408"/>
      <c r="T1408"/>
      <c r="U1408"/>
      <c r="V1408"/>
      <c r="Z1408"/>
      <c r="AA1408"/>
    </row>
    <row r="1409" spans="7:27" x14ac:dyDescent="0.45">
      <c r="G1409"/>
      <c r="H1409"/>
      <c r="I1409"/>
      <c r="J1409"/>
      <c r="M1409"/>
      <c r="O1409"/>
      <c r="Q1409"/>
      <c r="R1409"/>
      <c r="S1409"/>
      <c r="T1409"/>
      <c r="U1409"/>
      <c r="V1409"/>
      <c r="Z1409"/>
      <c r="AA1409"/>
    </row>
    <row r="1410" spans="7:27" x14ac:dyDescent="0.45">
      <c r="G1410"/>
      <c r="H1410"/>
      <c r="I1410"/>
      <c r="J1410"/>
      <c r="M1410"/>
      <c r="O1410"/>
      <c r="Q1410"/>
      <c r="R1410"/>
      <c r="S1410"/>
      <c r="T1410"/>
      <c r="U1410"/>
      <c r="V1410"/>
      <c r="Z1410"/>
      <c r="AA1410"/>
    </row>
    <row r="1411" spans="7:27" x14ac:dyDescent="0.45">
      <c r="G1411"/>
      <c r="H1411"/>
      <c r="I1411"/>
      <c r="J1411"/>
      <c r="M1411"/>
      <c r="O1411"/>
      <c r="Q1411"/>
      <c r="R1411"/>
      <c r="S1411"/>
      <c r="T1411"/>
      <c r="U1411"/>
      <c r="V1411"/>
      <c r="Z1411"/>
      <c r="AA1411"/>
    </row>
    <row r="1412" spans="7:27" x14ac:dyDescent="0.45">
      <c r="G1412"/>
      <c r="H1412"/>
      <c r="I1412"/>
      <c r="J1412"/>
      <c r="M1412"/>
      <c r="O1412"/>
      <c r="Q1412"/>
      <c r="R1412"/>
      <c r="S1412"/>
      <c r="T1412"/>
      <c r="U1412"/>
      <c r="V1412"/>
      <c r="Z1412"/>
      <c r="AA1412"/>
    </row>
    <row r="1413" spans="7:27" x14ac:dyDescent="0.45">
      <c r="G1413"/>
      <c r="H1413"/>
      <c r="I1413"/>
      <c r="J1413"/>
      <c r="M1413"/>
      <c r="O1413"/>
      <c r="Q1413"/>
      <c r="R1413"/>
      <c r="S1413"/>
      <c r="T1413"/>
      <c r="U1413"/>
      <c r="V1413"/>
      <c r="Z1413"/>
      <c r="AA1413"/>
    </row>
    <row r="1414" spans="7:27" x14ac:dyDescent="0.45">
      <c r="G1414"/>
      <c r="H1414"/>
      <c r="I1414"/>
      <c r="J1414"/>
      <c r="M1414"/>
      <c r="O1414"/>
      <c r="Q1414"/>
      <c r="R1414"/>
      <c r="S1414"/>
      <c r="T1414"/>
      <c r="U1414"/>
      <c r="V1414"/>
      <c r="Z1414"/>
      <c r="AA1414"/>
    </row>
    <row r="1415" spans="7:27" x14ac:dyDescent="0.45">
      <c r="G1415"/>
      <c r="H1415"/>
      <c r="I1415"/>
      <c r="J1415"/>
      <c r="M1415"/>
      <c r="O1415"/>
      <c r="Q1415"/>
      <c r="R1415"/>
      <c r="S1415"/>
      <c r="T1415"/>
      <c r="U1415"/>
      <c r="V1415"/>
      <c r="Z1415"/>
      <c r="AA1415"/>
    </row>
    <row r="1416" spans="7:27" x14ac:dyDescent="0.45">
      <c r="G1416"/>
      <c r="H1416"/>
      <c r="I1416"/>
      <c r="J1416"/>
      <c r="M1416"/>
      <c r="O1416"/>
      <c r="Q1416"/>
      <c r="R1416"/>
      <c r="S1416"/>
      <c r="T1416"/>
      <c r="U1416"/>
      <c r="V1416"/>
      <c r="Z1416"/>
      <c r="AA1416"/>
    </row>
    <row r="1417" spans="7:27" x14ac:dyDescent="0.45">
      <c r="G1417"/>
      <c r="H1417"/>
      <c r="I1417"/>
      <c r="J1417"/>
      <c r="M1417"/>
      <c r="O1417"/>
      <c r="Q1417"/>
      <c r="R1417"/>
      <c r="S1417"/>
      <c r="T1417"/>
      <c r="U1417"/>
      <c r="V1417"/>
      <c r="Z1417"/>
      <c r="AA1417"/>
    </row>
    <row r="1418" spans="7:27" x14ac:dyDescent="0.45">
      <c r="G1418"/>
      <c r="H1418"/>
      <c r="I1418"/>
      <c r="J1418"/>
      <c r="M1418"/>
      <c r="O1418"/>
      <c r="Q1418"/>
      <c r="R1418"/>
      <c r="S1418"/>
      <c r="T1418"/>
      <c r="U1418"/>
      <c r="V1418"/>
      <c r="Z1418"/>
      <c r="AA1418"/>
    </row>
    <row r="1419" spans="7:27" x14ac:dyDescent="0.45">
      <c r="G1419"/>
      <c r="H1419"/>
      <c r="I1419"/>
      <c r="J1419"/>
      <c r="M1419"/>
      <c r="O1419"/>
      <c r="Q1419"/>
      <c r="R1419"/>
      <c r="S1419"/>
      <c r="T1419"/>
      <c r="U1419"/>
      <c r="V1419"/>
      <c r="Z1419"/>
      <c r="AA1419"/>
    </row>
    <row r="1420" spans="7:27" x14ac:dyDescent="0.45">
      <c r="G1420"/>
      <c r="H1420"/>
      <c r="I1420"/>
      <c r="J1420"/>
      <c r="M1420"/>
      <c r="O1420"/>
      <c r="Q1420"/>
      <c r="R1420"/>
      <c r="S1420"/>
      <c r="T1420"/>
      <c r="U1420"/>
      <c r="V1420"/>
      <c r="Z1420"/>
      <c r="AA1420"/>
    </row>
    <row r="1421" spans="7:27" x14ac:dyDescent="0.45">
      <c r="G1421"/>
      <c r="H1421"/>
      <c r="I1421"/>
      <c r="J1421"/>
      <c r="M1421"/>
      <c r="O1421"/>
      <c r="Q1421"/>
      <c r="R1421"/>
      <c r="S1421"/>
      <c r="T1421"/>
      <c r="U1421"/>
      <c r="V1421"/>
      <c r="Z1421"/>
      <c r="AA1421"/>
    </row>
    <row r="1422" spans="7:27" x14ac:dyDescent="0.45">
      <c r="G1422"/>
      <c r="H1422"/>
      <c r="I1422"/>
      <c r="J1422"/>
      <c r="M1422"/>
      <c r="O1422"/>
      <c r="Q1422"/>
      <c r="R1422"/>
      <c r="S1422"/>
      <c r="T1422"/>
      <c r="U1422"/>
      <c r="V1422"/>
      <c r="Z1422"/>
      <c r="AA1422"/>
    </row>
    <row r="1423" spans="7:27" x14ac:dyDescent="0.45">
      <c r="G1423"/>
      <c r="H1423"/>
      <c r="I1423"/>
      <c r="J1423"/>
      <c r="M1423"/>
      <c r="O1423"/>
      <c r="Q1423"/>
      <c r="R1423"/>
      <c r="S1423"/>
      <c r="T1423"/>
      <c r="U1423"/>
      <c r="V1423"/>
      <c r="Z1423"/>
      <c r="AA1423"/>
    </row>
    <row r="1424" spans="7:27" x14ac:dyDescent="0.45">
      <c r="G1424"/>
      <c r="H1424"/>
      <c r="I1424"/>
      <c r="J1424"/>
      <c r="M1424"/>
      <c r="O1424"/>
      <c r="Q1424"/>
      <c r="R1424"/>
      <c r="S1424"/>
      <c r="T1424"/>
      <c r="U1424"/>
      <c r="V1424"/>
      <c r="Z1424"/>
      <c r="AA1424"/>
    </row>
    <row r="1425" spans="7:27" x14ac:dyDescent="0.45">
      <c r="G1425"/>
      <c r="H1425"/>
      <c r="I1425"/>
      <c r="J1425"/>
      <c r="M1425"/>
      <c r="O1425"/>
      <c r="Q1425"/>
      <c r="R1425"/>
      <c r="S1425"/>
      <c r="T1425"/>
      <c r="U1425"/>
      <c r="V1425"/>
      <c r="Z1425"/>
      <c r="AA1425"/>
    </row>
    <row r="1426" spans="7:27" x14ac:dyDescent="0.45">
      <c r="G1426"/>
      <c r="H1426"/>
      <c r="I1426"/>
      <c r="J1426"/>
      <c r="M1426"/>
      <c r="O1426"/>
      <c r="Q1426"/>
      <c r="R1426"/>
      <c r="S1426"/>
      <c r="T1426"/>
      <c r="U1426"/>
      <c r="V1426"/>
      <c r="Z1426"/>
      <c r="AA1426"/>
    </row>
    <row r="1427" spans="7:27" x14ac:dyDescent="0.45">
      <c r="G1427"/>
      <c r="H1427"/>
      <c r="I1427"/>
      <c r="J1427"/>
      <c r="M1427"/>
      <c r="O1427"/>
      <c r="Q1427"/>
      <c r="R1427"/>
      <c r="S1427"/>
      <c r="T1427"/>
      <c r="U1427"/>
      <c r="V1427"/>
      <c r="Z1427"/>
      <c r="AA1427"/>
    </row>
    <row r="1428" spans="7:27" x14ac:dyDescent="0.45">
      <c r="G1428"/>
      <c r="H1428"/>
      <c r="I1428"/>
      <c r="J1428"/>
      <c r="M1428"/>
      <c r="O1428"/>
      <c r="Q1428"/>
      <c r="R1428"/>
      <c r="S1428"/>
      <c r="T1428"/>
      <c r="U1428"/>
      <c r="V1428"/>
      <c r="Z1428"/>
      <c r="AA1428"/>
    </row>
    <row r="1429" spans="7:27" x14ac:dyDescent="0.45">
      <c r="G1429"/>
      <c r="H1429"/>
      <c r="I1429"/>
      <c r="J1429"/>
      <c r="M1429"/>
      <c r="O1429"/>
      <c r="Q1429"/>
      <c r="R1429"/>
      <c r="S1429"/>
      <c r="T1429"/>
      <c r="U1429"/>
      <c r="V1429"/>
      <c r="Z1429"/>
      <c r="AA1429"/>
    </row>
    <row r="1430" spans="7:27" x14ac:dyDescent="0.45">
      <c r="G1430"/>
      <c r="H1430"/>
      <c r="I1430"/>
      <c r="J1430"/>
      <c r="M1430"/>
      <c r="O1430"/>
      <c r="Q1430"/>
      <c r="R1430"/>
      <c r="S1430"/>
      <c r="T1430"/>
      <c r="U1430"/>
      <c r="V1430"/>
      <c r="Z1430"/>
      <c r="AA1430"/>
    </row>
    <row r="1431" spans="7:27" x14ac:dyDescent="0.45">
      <c r="G1431"/>
      <c r="H1431"/>
      <c r="I1431"/>
      <c r="J1431"/>
      <c r="M1431"/>
      <c r="O1431"/>
      <c r="Q1431"/>
      <c r="R1431"/>
      <c r="S1431"/>
      <c r="T1431"/>
      <c r="U1431"/>
      <c r="V1431"/>
      <c r="Z1431"/>
      <c r="AA1431"/>
    </row>
    <row r="1432" spans="7:27" x14ac:dyDescent="0.45">
      <c r="G1432"/>
      <c r="H1432"/>
      <c r="I1432"/>
      <c r="J1432"/>
      <c r="M1432"/>
      <c r="O1432"/>
      <c r="Q1432"/>
      <c r="R1432"/>
      <c r="S1432"/>
      <c r="T1432"/>
      <c r="U1432"/>
      <c r="V1432"/>
      <c r="Z1432"/>
      <c r="AA1432"/>
    </row>
    <row r="1433" spans="7:27" x14ac:dyDescent="0.45">
      <c r="G1433"/>
      <c r="H1433"/>
      <c r="I1433"/>
      <c r="J1433"/>
      <c r="M1433"/>
      <c r="O1433"/>
      <c r="Q1433"/>
      <c r="R1433"/>
      <c r="S1433"/>
      <c r="T1433"/>
      <c r="U1433"/>
      <c r="V1433"/>
      <c r="Z1433"/>
      <c r="AA1433"/>
    </row>
    <row r="1434" spans="7:27" x14ac:dyDescent="0.45">
      <c r="G1434"/>
      <c r="H1434"/>
      <c r="I1434"/>
      <c r="J1434"/>
      <c r="M1434"/>
      <c r="O1434"/>
      <c r="Q1434"/>
      <c r="R1434"/>
      <c r="S1434"/>
      <c r="T1434"/>
      <c r="U1434"/>
      <c r="V1434"/>
      <c r="Z1434"/>
      <c r="AA1434"/>
    </row>
    <row r="1435" spans="7:27" x14ac:dyDescent="0.45">
      <c r="G1435"/>
      <c r="H1435"/>
      <c r="I1435"/>
      <c r="J1435"/>
      <c r="M1435"/>
      <c r="O1435"/>
      <c r="Q1435"/>
      <c r="R1435"/>
      <c r="S1435"/>
      <c r="T1435"/>
      <c r="U1435"/>
      <c r="V1435"/>
      <c r="Z1435"/>
      <c r="AA1435"/>
    </row>
    <row r="1436" spans="7:27" x14ac:dyDescent="0.45">
      <c r="G1436"/>
      <c r="H1436"/>
      <c r="I1436"/>
      <c r="J1436"/>
      <c r="M1436"/>
      <c r="O1436"/>
      <c r="Q1436"/>
      <c r="R1436"/>
      <c r="S1436"/>
      <c r="T1436"/>
      <c r="U1436"/>
      <c r="V1436"/>
      <c r="Z1436"/>
      <c r="AA1436"/>
    </row>
    <row r="1437" spans="7:27" x14ac:dyDescent="0.45">
      <c r="G1437"/>
      <c r="H1437"/>
      <c r="I1437"/>
      <c r="J1437"/>
      <c r="M1437"/>
      <c r="O1437"/>
      <c r="Q1437"/>
      <c r="R1437"/>
      <c r="S1437"/>
      <c r="T1437"/>
      <c r="U1437"/>
      <c r="V1437"/>
      <c r="Z1437"/>
      <c r="AA1437"/>
    </row>
    <row r="1438" spans="7:27" x14ac:dyDescent="0.45">
      <c r="G1438"/>
      <c r="H1438"/>
      <c r="I1438"/>
      <c r="J1438"/>
      <c r="M1438"/>
      <c r="O1438"/>
      <c r="Q1438"/>
      <c r="R1438"/>
      <c r="S1438"/>
      <c r="T1438"/>
      <c r="U1438"/>
      <c r="V1438"/>
      <c r="Z1438"/>
      <c r="AA1438"/>
    </row>
    <row r="1439" spans="7:27" x14ac:dyDescent="0.45">
      <c r="G1439"/>
      <c r="H1439"/>
      <c r="I1439"/>
      <c r="J1439"/>
      <c r="M1439"/>
      <c r="O1439"/>
      <c r="Q1439"/>
      <c r="R1439"/>
      <c r="S1439"/>
      <c r="T1439"/>
      <c r="U1439"/>
      <c r="V1439"/>
      <c r="Z1439"/>
      <c r="AA1439"/>
    </row>
    <row r="1440" spans="7:27" x14ac:dyDescent="0.45">
      <c r="G1440"/>
      <c r="H1440"/>
      <c r="I1440"/>
      <c r="J1440"/>
      <c r="M1440"/>
      <c r="O1440"/>
      <c r="Q1440"/>
      <c r="R1440"/>
      <c r="S1440"/>
      <c r="T1440"/>
      <c r="U1440"/>
      <c r="V1440"/>
      <c r="Z1440"/>
      <c r="AA1440"/>
    </row>
    <row r="1441" spans="7:27" x14ac:dyDescent="0.45">
      <c r="G1441"/>
      <c r="H1441"/>
      <c r="I1441"/>
      <c r="J1441"/>
      <c r="M1441"/>
      <c r="O1441"/>
      <c r="Q1441"/>
      <c r="R1441"/>
      <c r="S1441"/>
      <c r="T1441"/>
      <c r="U1441"/>
      <c r="V1441"/>
      <c r="Z1441"/>
      <c r="AA1441"/>
    </row>
    <row r="1442" spans="7:27" x14ac:dyDescent="0.45">
      <c r="G1442"/>
      <c r="H1442"/>
      <c r="I1442"/>
      <c r="J1442"/>
      <c r="M1442"/>
      <c r="O1442"/>
      <c r="Q1442"/>
      <c r="R1442"/>
      <c r="S1442"/>
      <c r="T1442"/>
      <c r="U1442"/>
      <c r="V1442"/>
      <c r="Z1442"/>
      <c r="AA1442"/>
    </row>
    <row r="1443" spans="7:27" x14ac:dyDescent="0.45">
      <c r="G1443"/>
      <c r="H1443"/>
      <c r="I1443"/>
      <c r="J1443"/>
      <c r="M1443"/>
      <c r="O1443"/>
      <c r="Q1443"/>
      <c r="R1443"/>
      <c r="S1443"/>
      <c r="T1443"/>
      <c r="U1443"/>
      <c r="V1443"/>
      <c r="Z1443"/>
      <c r="AA1443"/>
    </row>
    <row r="1444" spans="7:27" x14ac:dyDescent="0.45">
      <c r="G1444"/>
      <c r="H1444"/>
      <c r="I1444"/>
      <c r="J1444"/>
      <c r="M1444"/>
      <c r="O1444"/>
      <c r="Q1444"/>
      <c r="R1444"/>
      <c r="S1444"/>
      <c r="T1444"/>
      <c r="U1444"/>
      <c r="V1444"/>
      <c r="Z1444"/>
      <c r="AA1444"/>
    </row>
    <row r="1445" spans="7:27" x14ac:dyDescent="0.45">
      <c r="G1445"/>
      <c r="H1445"/>
      <c r="I1445"/>
      <c r="J1445"/>
      <c r="M1445"/>
      <c r="O1445"/>
      <c r="Q1445"/>
      <c r="R1445"/>
      <c r="S1445"/>
      <c r="T1445"/>
      <c r="U1445"/>
      <c r="V1445"/>
      <c r="Z1445"/>
      <c r="AA1445"/>
    </row>
    <row r="1446" spans="7:27" x14ac:dyDescent="0.45">
      <c r="G1446"/>
      <c r="H1446"/>
      <c r="I1446"/>
      <c r="J1446"/>
      <c r="M1446"/>
      <c r="O1446"/>
      <c r="Q1446"/>
      <c r="R1446"/>
      <c r="S1446"/>
      <c r="T1446"/>
      <c r="U1446"/>
      <c r="V1446"/>
      <c r="Z1446"/>
      <c r="AA1446"/>
    </row>
    <row r="1447" spans="7:27" x14ac:dyDescent="0.45">
      <c r="G1447"/>
      <c r="H1447"/>
      <c r="I1447"/>
      <c r="J1447"/>
      <c r="M1447"/>
      <c r="O1447"/>
      <c r="Q1447"/>
      <c r="R1447"/>
      <c r="S1447"/>
      <c r="T1447"/>
      <c r="U1447"/>
      <c r="V1447"/>
      <c r="Z1447"/>
      <c r="AA1447"/>
    </row>
    <row r="1448" spans="7:27" x14ac:dyDescent="0.45">
      <c r="G1448"/>
      <c r="H1448"/>
      <c r="I1448"/>
      <c r="J1448"/>
      <c r="M1448"/>
      <c r="O1448"/>
      <c r="Q1448"/>
      <c r="R1448"/>
      <c r="S1448"/>
      <c r="T1448"/>
      <c r="U1448"/>
      <c r="V1448"/>
      <c r="Z1448"/>
      <c r="AA1448"/>
    </row>
    <row r="1449" spans="7:27" x14ac:dyDescent="0.45">
      <c r="G1449"/>
      <c r="H1449"/>
      <c r="I1449"/>
      <c r="J1449"/>
      <c r="M1449"/>
      <c r="O1449"/>
      <c r="Q1449"/>
      <c r="R1449"/>
      <c r="S1449"/>
      <c r="T1449"/>
      <c r="U1449"/>
      <c r="V1449"/>
      <c r="Z1449"/>
      <c r="AA1449"/>
    </row>
    <row r="1450" spans="7:27" x14ac:dyDescent="0.45">
      <c r="G1450"/>
      <c r="H1450"/>
      <c r="I1450"/>
      <c r="J1450"/>
      <c r="M1450"/>
      <c r="O1450"/>
      <c r="Q1450"/>
      <c r="R1450"/>
      <c r="S1450"/>
      <c r="T1450"/>
      <c r="U1450"/>
      <c r="V1450"/>
      <c r="Z1450"/>
      <c r="AA1450"/>
    </row>
    <row r="1451" spans="7:27" x14ac:dyDescent="0.45">
      <c r="G1451"/>
      <c r="H1451"/>
      <c r="I1451"/>
      <c r="J1451"/>
      <c r="M1451"/>
      <c r="O1451"/>
      <c r="Q1451"/>
      <c r="R1451"/>
      <c r="S1451"/>
      <c r="T1451"/>
      <c r="U1451"/>
      <c r="V1451"/>
      <c r="Z1451"/>
      <c r="AA1451"/>
    </row>
    <row r="1452" spans="7:27" x14ac:dyDescent="0.45">
      <c r="G1452"/>
      <c r="H1452"/>
      <c r="I1452"/>
      <c r="J1452"/>
      <c r="M1452"/>
      <c r="O1452"/>
      <c r="Q1452"/>
      <c r="R1452"/>
      <c r="S1452"/>
      <c r="T1452"/>
      <c r="U1452"/>
      <c r="V1452"/>
      <c r="Z1452"/>
      <c r="AA1452"/>
    </row>
    <row r="1453" spans="7:27" x14ac:dyDescent="0.45">
      <c r="G1453"/>
      <c r="H1453"/>
      <c r="I1453"/>
      <c r="J1453"/>
      <c r="M1453"/>
      <c r="O1453"/>
      <c r="Q1453"/>
      <c r="R1453"/>
      <c r="S1453"/>
      <c r="T1453"/>
      <c r="U1453"/>
      <c r="V1453"/>
      <c r="Z1453"/>
      <c r="AA1453"/>
    </row>
    <row r="1454" spans="7:27" x14ac:dyDescent="0.45">
      <c r="G1454"/>
      <c r="H1454"/>
      <c r="I1454"/>
      <c r="J1454"/>
      <c r="M1454"/>
      <c r="O1454"/>
      <c r="Q1454"/>
      <c r="R1454"/>
      <c r="S1454"/>
      <c r="T1454"/>
      <c r="U1454"/>
      <c r="V1454"/>
      <c r="Z1454"/>
      <c r="AA1454"/>
    </row>
    <row r="1455" spans="7:27" x14ac:dyDescent="0.45">
      <c r="G1455"/>
      <c r="H1455"/>
      <c r="I1455"/>
      <c r="J1455"/>
      <c r="M1455"/>
      <c r="O1455"/>
      <c r="Q1455"/>
      <c r="R1455"/>
      <c r="S1455"/>
      <c r="T1455"/>
      <c r="U1455"/>
      <c r="V1455"/>
      <c r="Z1455"/>
      <c r="AA1455"/>
    </row>
    <row r="1456" spans="7:27" x14ac:dyDescent="0.45">
      <c r="G1456"/>
      <c r="H1456"/>
      <c r="I1456"/>
      <c r="J1456"/>
      <c r="M1456"/>
      <c r="O1456"/>
      <c r="Q1456"/>
      <c r="R1456"/>
      <c r="S1456"/>
      <c r="T1456"/>
      <c r="U1456"/>
      <c r="V1456"/>
      <c r="Z1456"/>
      <c r="AA1456"/>
    </row>
    <row r="1457" spans="7:27" x14ac:dyDescent="0.45">
      <c r="G1457"/>
      <c r="H1457"/>
      <c r="I1457"/>
      <c r="J1457"/>
      <c r="M1457"/>
      <c r="O1457"/>
      <c r="Q1457"/>
      <c r="R1457"/>
      <c r="S1457"/>
      <c r="T1457"/>
      <c r="U1457"/>
      <c r="V1457"/>
      <c r="Z1457"/>
      <c r="AA1457"/>
    </row>
    <row r="1458" spans="7:27" x14ac:dyDescent="0.45">
      <c r="G1458"/>
      <c r="H1458"/>
      <c r="I1458"/>
      <c r="J1458"/>
      <c r="M1458"/>
      <c r="O1458"/>
      <c r="Q1458"/>
      <c r="R1458"/>
      <c r="S1458"/>
      <c r="T1458"/>
      <c r="U1458"/>
      <c r="V1458"/>
      <c r="Z1458"/>
      <c r="AA1458"/>
    </row>
    <row r="1459" spans="7:27" x14ac:dyDescent="0.45">
      <c r="G1459"/>
      <c r="H1459"/>
      <c r="I1459"/>
      <c r="J1459"/>
      <c r="M1459"/>
      <c r="O1459"/>
      <c r="Q1459"/>
      <c r="R1459"/>
      <c r="S1459"/>
      <c r="T1459"/>
      <c r="U1459"/>
      <c r="V1459"/>
      <c r="Z1459"/>
      <c r="AA1459"/>
    </row>
    <row r="1460" spans="7:27" x14ac:dyDescent="0.45">
      <c r="G1460"/>
      <c r="H1460"/>
      <c r="I1460"/>
      <c r="J1460"/>
      <c r="M1460"/>
      <c r="O1460"/>
      <c r="Q1460"/>
      <c r="R1460"/>
      <c r="S1460"/>
      <c r="T1460"/>
      <c r="U1460"/>
      <c r="V1460"/>
      <c r="Z1460"/>
      <c r="AA1460"/>
    </row>
    <row r="1461" spans="7:27" x14ac:dyDescent="0.45">
      <c r="G1461"/>
      <c r="H1461"/>
      <c r="I1461"/>
      <c r="J1461"/>
      <c r="M1461"/>
      <c r="O1461"/>
      <c r="Q1461"/>
      <c r="R1461"/>
      <c r="S1461"/>
      <c r="T1461"/>
      <c r="U1461"/>
      <c r="V1461"/>
      <c r="Z1461"/>
      <c r="AA1461"/>
    </row>
    <row r="1462" spans="7:27" x14ac:dyDescent="0.45">
      <c r="G1462"/>
      <c r="H1462"/>
      <c r="I1462"/>
      <c r="J1462"/>
      <c r="M1462"/>
      <c r="O1462"/>
      <c r="Q1462"/>
      <c r="R1462"/>
      <c r="S1462"/>
      <c r="T1462"/>
      <c r="U1462"/>
      <c r="V1462"/>
      <c r="Z1462"/>
      <c r="AA1462"/>
    </row>
    <row r="1463" spans="7:27" x14ac:dyDescent="0.45">
      <c r="G1463"/>
      <c r="H1463"/>
      <c r="I1463"/>
      <c r="J1463"/>
      <c r="M1463"/>
      <c r="O1463"/>
      <c r="Q1463"/>
      <c r="R1463"/>
      <c r="S1463"/>
      <c r="T1463"/>
      <c r="U1463"/>
      <c r="V1463"/>
      <c r="Z1463"/>
      <c r="AA1463"/>
    </row>
    <row r="1464" spans="7:27" x14ac:dyDescent="0.45">
      <c r="G1464"/>
      <c r="H1464"/>
      <c r="I1464"/>
      <c r="J1464"/>
      <c r="M1464"/>
      <c r="O1464"/>
      <c r="Q1464"/>
      <c r="R1464"/>
      <c r="S1464"/>
      <c r="T1464"/>
      <c r="U1464"/>
      <c r="V1464"/>
      <c r="Z1464"/>
      <c r="AA1464"/>
    </row>
    <row r="1465" spans="7:27" x14ac:dyDescent="0.45">
      <c r="G1465"/>
      <c r="H1465"/>
      <c r="I1465"/>
      <c r="J1465"/>
      <c r="M1465"/>
      <c r="O1465"/>
      <c r="Q1465"/>
      <c r="R1465"/>
      <c r="S1465"/>
      <c r="T1465"/>
      <c r="U1465"/>
      <c r="V1465"/>
      <c r="Z1465"/>
      <c r="AA1465"/>
    </row>
    <row r="1466" spans="7:27" x14ac:dyDescent="0.45">
      <c r="G1466"/>
      <c r="H1466"/>
      <c r="I1466"/>
      <c r="J1466"/>
      <c r="M1466"/>
      <c r="O1466"/>
      <c r="Q1466"/>
      <c r="R1466"/>
      <c r="S1466"/>
      <c r="T1466"/>
      <c r="U1466"/>
      <c r="V1466"/>
      <c r="Z1466"/>
      <c r="AA1466"/>
    </row>
    <row r="1467" spans="7:27" x14ac:dyDescent="0.45">
      <c r="G1467"/>
      <c r="H1467"/>
      <c r="I1467"/>
      <c r="J1467"/>
      <c r="M1467"/>
      <c r="O1467"/>
      <c r="Q1467"/>
      <c r="R1467"/>
      <c r="S1467"/>
      <c r="T1467"/>
      <c r="U1467"/>
      <c r="V1467"/>
      <c r="Z1467"/>
      <c r="AA1467"/>
    </row>
    <row r="1468" spans="7:27" x14ac:dyDescent="0.45">
      <c r="G1468"/>
      <c r="H1468"/>
      <c r="I1468"/>
      <c r="J1468"/>
      <c r="M1468"/>
      <c r="O1468"/>
      <c r="Q1468"/>
      <c r="R1468"/>
      <c r="S1468"/>
      <c r="T1468"/>
      <c r="U1468"/>
      <c r="V1468"/>
      <c r="Z1468"/>
      <c r="AA1468"/>
    </row>
    <row r="1469" spans="7:27" x14ac:dyDescent="0.45">
      <c r="G1469"/>
      <c r="H1469"/>
      <c r="I1469"/>
      <c r="J1469"/>
      <c r="M1469"/>
      <c r="O1469"/>
      <c r="Q1469"/>
      <c r="R1469"/>
      <c r="S1469"/>
      <c r="T1469"/>
      <c r="U1469"/>
      <c r="V1469"/>
      <c r="Z1469"/>
      <c r="AA1469"/>
    </row>
    <row r="1470" spans="7:27" x14ac:dyDescent="0.45">
      <c r="G1470"/>
      <c r="H1470"/>
      <c r="I1470"/>
      <c r="J1470"/>
      <c r="M1470"/>
      <c r="O1470"/>
      <c r="Q1470"/>
      <c r="R1470"/>
      <c r="S1470"/>
      <c r="T1470"/>
      <c r="U1470"/>
      <c r="V1470"/>
      <c r="Z1470"/>
      <c r="AA1470"/>
    </row>
    <row r="1471" spans="7:27" x14ac:dyDescent="0.45">
      <c r="G1471"/>
      <c r="H1471"/>
      <c r="I1471"/>
      <c r="J1471"/>
      <c r="M1471"/>
      <c r="O1471"/>
      <c r="Q1471"/>
      <c r="R1471"/>
      <c r="S1471"/>
      <c r="T1471"/>
      <c r="U1471"/>
      <c r="V1471"/>
      <c r="Z1471"/>
      <c r="AA1471"/>
    </row>
    <row r="1472" spans="7:27" x14ac:dyDescent="0.45">
      <c r="G1472"/>
      <c r="H1472"/>
      <c r="I1472"/>
      <c r="J1472"/>
      <c r="M1472"/>
      <c r="O1472"/>
      <c r="Q1472"/>
      <c r="R1472"/>
      <c r="S1472"/>
      <c r="T1472"/>
      <c r="U1472"/>
      <c r="V1472"/>
      <c r="Z1472"/>
      <c r="AA1472"/>
    </row>
    <row r="1473" spans="7:27" x14ac:dyDescent="0.45">
      <c r="G1473"/>
      <c r="H1473"/>
      <c r="I1473"/>
      <c r="J1473"/>
      <c r="M1473"/>
      <c r="O1473"/>
      <c r="Q1473"/>
      <c r="R1473"/>
      <c r="S1473"/>
      <c r="T1473"/>
      <c r="U1473"/>
      <c r="V1473"/>
      <c r="Z1473"/>
      <c r="AA1473"/>
    </row>
    <row r="1474" spans="7:27" x14ac:dyDescent="0.45">
      <c r="G1474"/>
      <c r="H1474"/>
      <c r="I1474"/>
      <c r="J1474"/>
      <c r="M1474"/>
      <c r="O1474"/>
      <c r="Q1474"/>
      <c r="R1474"/>
      <c r="S1474"/>
      <c r="T1474"/>
      <c r="U1474"/>
      <c r="V1474"/>
      <c r="Z1474"/>
      <c r="AA1474"/>
    </row>
    <row r="1475" spans="7:27" x14ac:dyDescent="0.45">
      <c r="G1475"/>
      <c r="H1475"/>
      <c r="I1475"/>
      <c r="J1475"/>
      <c r="M1475"/>
      <c r="O1475"/>
      <c r="Q1475"/>
      <c r="R1475"/>
      <c r="S1475"/>
      <c r="T1475"/>
      <c r="U1475"/>
      <c r="V1475"/>
      <c r="Z1475"/>
      <c r="AA1475"/>
    </row>
    <row r="1476" spans="7:27" x14ac:dyDescent="0.45">
      <c r="G1476"/>
      <c r="H1476"/>
      <c r="I1476"/>
      <c r="J1476"/>
      <c r="M1476"/>
      <c r="O1476"/>
      <c r="Q1476"/>
      <c r="R1476"/>
      <c r="S1476"/>
      <c r="T1476"/>
      <c r="U1476"/>
      <c r="V1476"/>
      <c r="Z1476"/>
      <c r="AA1476"/>
    </row>
    <row r="1477" spans="7:27" x14ac:dyDescent="0.45">
      <c r="G1477"/>
      <c r="H1477"/>
      <c r="I1477"/>
      <c r="J1477"/>
      <c r="M1477"/>
      <c r="O1477"/>
      <c r="Q1477"/>
      <c r="R1477"/>
      <c r="S1477"/>
      <c r="T1477"/>
      <c r="U1477"/>
      <c r="V1477"/>
      <c r="Z1477"/>
      <c r="AA1477"/>
    </row>
    <row r="1478" spans="7:27" x14ac:dyDescent="0.45">
      <c r="G1478"/>
      <c r="H1478"/>
      <c r="I1478"/>
      <c r="J1478"/>
      <c r="M1478"/>
      <c r="O1478"/>
      <c r="Q1478"/>
      <c r="R1478"/>
      <c r="S1478"/>
      <c r="T1478"/>
      <c r="U1478"/>
      <c r="V1478"/>
      <c r="Z1478"/>
      <c r="AA1478"/>
    </row>
    <row r="1479" spans="7:27" x14ac:dyDescent="0.45">
      <c r="G1479"/>
      <c r="H1479"/>
      <c r="I1479"/>
      <c r="J1479"/>
      <c r="M1479"/>
      <c r="O1479"/>
      <c r="Q1479"/>
      <c r="R1479"/>
      <c r="S1479"/>
      <c r="T1479"/>
      <c r="U1479"/>
      <c r="V1479"/>
      <c r="Z1479"/>
      <c r="AA1479"/>
    </row>
    <row r="1480" spans="7:27" x14ac:dyDescent="0.45">
      <c r="G1480"/>
      <c r="H1480"/>
      <c r="I1480"/>
      <c r="J1480"/>
      <c r="M1480"/>
      <c r="O1480"/>
      <c r="Q1480"/>
      <c r="R1480"/>
      <c r="S1480"/>
      <c r="T1480"/>
      <c r="U1480"/>
      <c r="V1480"/>
      <c r="Z1480"/>
      <c r="AA1480"/>
    </row>
    <row r="1481" spans="7:27" x14ac:dyDescent="0.45">
      <c r="G1481"/>
      <c r="H1481"/>
      <c r="I1481"/>
      <c r="J1481"/>
      <c r="M1481"/>
      <c r="O1481"/>
      <c r="Q1481"/>
      <c r="R1481"/>
      <c r="S1481"/>
      <c r="T1481"/>
      <c r="U1481"/>
      <c r="V1481"/>
      <c r="Z1481"/>
      <c r="AA1481"/>
    </row>
    <row r="1482" spans="7:27" x14ac:dyDescent="0.45">
      <c r="G1482"/>
      <c r="H1482"/>
      <c r="I1482"/>
      <c r="J1482"/>
      <c r="M1482"/>
      <c r="O1482"/>
      <c r="Q1482"/>
      <c r="R1482"/>
      <c r="S1482"/>
      <c r="T1482"/>
      <c r="U1482"/>
      <c r="V1482"/>
      <c r="Z1482"/>
      <c r="AA1482"/>
    </row>
    <row r="1483" spans="7:27" x14ac:dyDescent="0.45">
      <c r="G1483"/>
      <c r="H1483"/>
      <c r="I1483"/>
      <c r="J1483"/>
      <c r="M1483"/>
      <c r="O1483"/>
      <c r="Q1483"/>
      <c r="R1483"/>
      <c r="S1483"/>
      <c r="T1483"/>
      <c r="U1483"/>
      <c r="V1483"/>
      <c r="Z1483"/>
      <c r="AA1483"/>
    </row>
    <row r="1484" spans="7:27" x14ac:dyDescent="0.45">
      <c r="G1484"/>
      <c r="H1484"/>
      <c r="I1484"/>
      <c r="J1484"/>
      <c r="M1484"/>
      <c r="O1484"/>
      <c r="Q1484"/>
      <c r="R1484"/>
      <c r="S1484"/>
      <c r="T1484"/>
      <c r="U1484"/>
      <c r="V1484"/>
      <c r="Z1484"/>
      <c r="AA1484"/>
    </row>
    <row r="1485" spans="7:27" x14ac:dyDescent="0.45">
      <c r="G1485"/>
      <c r="H1485"/>
      <c r="I1485"/>
      <c r="J1485"/>
      <c r="M1485"/>
      <c r="O1485"/>
      <c r="Q1485"/>
      <c r="R1485"/>
      <c r="S1485"/>
      <c r="T1485"/>
      <c r="U1485"/>
      <c r="V1485"/>
      <c r="Z1485"/>
      <c r="AA1485"/>
    </row>
    <row r="1486" spans="7:27" x14ac:dyDescent="0.45">
      <c r="G1486"/>
      <c r="H1486"/>
      <c r="I1486"/>
      <c r="J1486"/>
      <c r="M1486"/>
      <c r="O1486"/>
      <c r="Q1486"/>
      <c r="R1486"/>
      <c r="S1486"/>
      <c r="T1486"/>
      <c r="U1486"/>
      <c r="V1486"/>
      <c r="Z1486"/>
      <c r="AA1486"/>
    </row>
    <row r="1487" spans="7:27" x14ac:dyDescent="0.45">
      <c r="G1487"/>
      <c r="H1487"/>
      <c r="I1487"/>
      <c r="J1487"/>
      <c r="M1487"/>
      <c r="O1487"/>
      <c r="Q1487"/>
      <c r="R1487"/>
      <c r="S1487"/>
      <c r="T1487"/>
      <c r="U1487"/>
      <c r="V1487"/>
      <c r="Z1487"/>
      <c r="AA1487"/>
    </row>
    <row r="1488" spans="7:27" x14ac:dyDescent="0.45">
      <c r="G1488"/>
      <c r="H1488"/>
      <c r="I1488"/>
      <c r="J1488"/>
      <c r="M1488"/>
      <c r="O1488"/>
      <c r="Q1488"/>
      <c r="R1488"/>
      <c r="S1488"/>
      <c r="T1488"/>
      <c r="U1488"/>
      <c r="V1488"/>
      <c r="Z1488"/>
      <c r="AA1488"/>
    </row>
    <row r="1489" spans="7:27" x14ac:dyDescent="0.45">
      <c r="G1489"/>
      <c r="H1489"/>
      <c r="I1489"/>
      <c r="J1489"/>
      <c r="M1489"/>
      <c r="O1489"/>
      <c r="Q1489"/>
      <c r="R1489"/>
      <c r="S1489"/>
      <c r="T1489"/>
      <c r="U1489"/>
      <c r="V1489"/>
      <c r="Z1489"/>
      <c r="AA1489"/>
    </row>
    <row r="1490" spans="7:27" x14ac:dyDescent="0.45">
      <c r="G1490"/>
      <c r="H1490"/>
      <c r="I1490"/>
      <c r="J1490"/>
      <c r="M1490"/>
      <c r="O1490"/>
      <c r="Q1490"/>
      <c r="R1490"/>
      <c r="S1490"/>
      <c r="T1490"/>
      <c r="U1490"/>
      <c r="V1490"/>
      <c r="Z1490"/>
      <c r="AA1490"/>
    </row>
    <row r="1491" spans="7:27" x14ac:dyDescent="0.45">
      <c r="G1491"/>
      <c r="H1491"/>
      <c r="I1491"/>
      <c r="J1491"/>
      <c r="M1491"/>
      <c r="O1491"/>
      <c r="Q1491"/>
      <c r="R1491"/>
      <c r="S1491"/>
      <c r="T1491"/>
      <c r="U1491"/>
      <c r="V1491"/>
      <c r="Z1491"/>
      <c r="AA1491"/>
    </row>
    <row r="1492" spans="7:27" x14ac:dyDescent="0.45">
      <c r="G1492"/>
      <c r="H1492"/>
      <c r="I1492"/>
      <c r="J1492"/>
      <c r="M1492"/>
      <c r="O1492"/>
      <c r="Q1492"/>
      <c r="R1492"/>
      <c r="S1492"/>
      <c r="T1492"/>
      <c r="U1492"/>
      <c r="V1492"/>
      <c r="Z1492"/>
      <c r="AA1492"/>
    </row>
    <row r="1493" spans="7:27" x14ac:dyDescent="0.45">
      <c r="G1493"/>
      <c r="H1493"/>
      <c r="I1493"/>
      <c r="J1493"/>
      <c r="M1493"/>
      <c r="O1493"/>
      <c r="Q1493"/>
      <c r="R1493"/>
      <c r="S1493"/>
      <c r="T1493"/>
      <c r="U1493"/>
      <c r="V1493"/>
      <c r="Z1493"/>
      <c r="AA1493"/>
    </row>
    <row r="1494" spans="7:27" x14ac:dyDescent="0.45">
      <c r="G1494"/>
      <c r="H1494"/>
      <c r="I1494"/>
      <c r="J1494"/>
      <c r="M1494"/>
      <c r="O1494"/>
      <c r="Q1494"/>
      <c r="R1494"/>
      <c r="S1494"/>
      <c r="T1494"/>
      <c r="U1494"/>
      <c r="V1494"/>
      <c r="Z1494"/>
      <c r="AA1494"/>
    </row>
    <row r="1495" spans="7:27" x14ac:dyDescent="0.45">
      <c r="G1495"/>
      <c r="H1495"/>
      <c r="I1495"/>
      <c r="J1495"/>
      <c r="M1495"/>
      <c r="O1495"/>
      <c r="Q1495"/>
      <c r="R1495"/>
      <c r="S1495"/>
      <c r="T1495"/>
      <c r="U1495"/>
      <c r="V1495"/>
      <c r="Z1495"/>
      <c r="AA1495"/>
    </row>
    <row r="1496" spans="7:27" x14ac:dyDescent="0.45">
      <c r="G1496"/>
      <c r="H1496"/>
      <c r="I1496"/>
      <c r="J1496"/>
      <c r="M1496"/>
      <c r="O1496"/>
      <c r="Q1496"/>
      <c r="R1496"/>
      <c r="S1496"/>
      <c r="T1496"/>
      <c r="U1496"/>
      <c r="V1496"/>
      <c r="Z1496"/>
      <c r="AA1496"/>
    </row>
    <row r="1497" spans="7:27" x14ac:dyDescent="0.45">
      <c r="G1497"/>
      <c r="H1497"/>
      <c r="I1497"/>
      <c r="J1497"/>
      <c r="M1497"/>
      <c r="O1497"/>
      <c r="Q1497"/>
      <c r="R1497"/>
      <c r="S1497"/>
      <c r="T1497"/>
      <c r="U1497"/>
      <c r="V1497"/>
      <c r="Z1497"/>
      <c r="AA1497"/>
    </row>
    <row r="1498" spans="7:27" x14ac:dyDescent="0.45">
      <c r="G1498"/>
      <c r="H1498"/>
      <c r="I1498"/>
      <c r="J1498"/>
      <c r="M1498"/>
      <c r="O1498"/>
      <c r="Q1498"/>
      <c r="R1498"/>
      <c r="S1498"/>
      <c r="T1498"/>
      <c r="U1498"/>
      <c r="V1498"/>
      <c r="Z1498"/>
      <c r="AA1498"/>
    </row>
    <row r="1499" spans="7:27" x14ac:dyDescent="0.45">
      <c r="G1499"/>
      <c r="H1499"/>
      <c r="I1499"/>
      <c r="J1499"/>
      <c r="M1499"/>
      <c r="O1499"/>
      <c r="Q1499"/>
      <c r="R1499"/>
      <c r="S1499"/>
      <c r="T1499"/>
      <c r="U1499"/>
      <c r="V1499"/>
      <c r="Z1499"/>
      <c r="AA1499"/>
    </row>
    <row r="1500" spans="7:27" x14ac:dyDescent="0.45">
      <c r="G1500"/>
      <c r="H1500"/>
      <c r="I1500"/>
      <c r="J1500"/>
      <c r="M1500"/>
      <c r="O1500"/>
      <c r="Q1500"/>
      <c r="R1500"/>
      <c r="S1500"/>
      <c r="T1500"/>
      <c r="U1500"/>
      <c r="V1500"/>
      <c r="Z1500"/>
      <c r="AA1500"/>
    </row>
    <row r="1501" spans="7:27" x14ac:dyDescent="0.45">
      <c r="G1501"/>
      <c r="H1501"/>
      <c r="I1501"/>
      <c r="J1501"/>
      <c r="M1501"/>
      <c r="O1501"/>
      <c r="Q1501"/>
      <c r="R1501"/>
      <c r="S1501"/>
      <c r="T1501"/>
      <c r="U1501"/>
      <c r="V1501"/>
      <c r="Z1501"/>
      <c r="AA1501"/>
    </row>
    <row r="1502" spans="7:27" x14ac:dyDescent="0.45">
      <c r="G1502"/>
      <c r="H1502"/>
      <c r="I1502"/>
      <c r="J1502"/>
      <c r="M1502"/>
      <c r="O1502"/>
      <c r="Q1502"/>
      <c r="R1502"/>
      <c r="S1502"/>
      <c r="T1502"/>
      <c r="U1502"/>
      <c r="V1502"/>
      <c r="Z1502"/>
      <c r="AA1502"/>
    </row>
    <row r="1503" spans="7:27" x14ac:dyDescent="0.45">
      <c r="G1503"/>
      <c r="H1503"/>
      <c r="I1503"/>
      <c r="J1503"/>
      <c r="M1503"/>
      <c r="O1503"/>
      <c r="Q1503"/>
      <c r="R1503"/>
      <c r="S1503"/>
      <c r="T1503"/>
      <c r="U1503"/>
      <c r="V1503"/>
      <c r="Z1503"/>
      <c r="AA1503"/>
    </row>
    <row r="1504" spans="7:27" x14ac:dyDescent="0.45">
      <c r="G1504"/>
      <c r="H1504"/>
      <c r="I1504"/>
      <c r="J1504"/>
      <c r="M1504"/>
      <c r="O1504"/>
      <c r="Q1504"/>
      <c r="R1504"/>
      <c r="S1504"/>
      <c r="T1504"/>
      <c r="U1504"/>
      <c r="V1504"/>
      <c r="Z1504"/>
      <c r="AA1504"/>
    </row>
    <row r="1505" spans="7:27" x14ac:dyDescent="0.45">
      <c r="G1505"/>
      <c r="H1505"/>
      <c r="I1505"/>
      <c r="J1505"/>
      <c r="M1505"/>
      <c r="O1505"/>
      <c r="Q1505"/>
      <c r="R1505"/>
      <c r="S1505"/>
      <c r="T1505"/>
      <c r="U1505"/>
      <c r="V1505"/>
      <c r="Z1505"/>
      <c r="AA1505"/>
    </row>
    <row r="1506" spans="7:27" x14ac:dyDescent="0.45">
      <c r="G1506"/>
      <c r="H1506"/>
      <c r="I1506"/>
      <c r="J1506"/>
      <c r="M1506"/>
      <c r="O1506"/>
      <c r="Q1506"/>
      <c r="R1506"/>
      <c r="S1506"/>
      <c r="T1506"/>
      <c r="U1506"/>
      <c r="V1506"/>
      <c r="Z1506"/>
      <c r="AA1506"/>
    </row>
    <row r="1507" spans="7:27" x14ac:dyDescent="0.45">
      <c r="G1507"/>
      <c r="H1507"/>
      <c r="I1507"/>
      <c r="J1507"/>
      <c r="M1507"/>
      <c r="O1507"/>
      <c r="Q1507"/>
      <c r="R1507"/>
      <c r="S1507"/>
      <c r="T1507"/>
      <c r="U1507"/>
      <c r="V1507"/>
      <c r="Z1507"/>
      <c r="AA1507"/>
    </row>
    <row r="1508" spans="7:27" x14ac:dyDescent="0.45">
      <c r="G1508"/>
      <c r="H1508"/>
      <c r="I1508"/>
      <c r="J1508"/>
      <c r="M1508"/>
      <c r="O1508"/>
      <c r="Q1508"/>
      <c r="R1508"/>
      <c r="S1508"/>
      <c r="T1508"/>
      <c r="U1508"/>
      <c r="V1508"/>
      <c r="Z1508"/>
      <c r="AA1508"/>
    </row>
    <row r="1509" spans="7:27" x14ac:dyDescent="0.45">
      <c r="G1509"/>
      <c r="H1509"/>
      <c r="I1509"/>
      <c r="J1509"/>
      <c r="M1509"/>
      <c r="O1509"/>
      <c r="Q1509"/>
      <c r="R1509"/>
      <c r="S1509"/>
      <c r="T1509"/>
      <c r="U1509"/>
      <c r="V1509"/>
      <c r="Z1509"/>
      <c r="AA1509"/>
    </row>
    <row r="1510" spans="7:27" x14ac:dyDescent="0.45">
      <c r="G1510"/>
      <c r="H1510"/>
      <c r="I1510"/>
      <c r="J1510"/>
      <c r="M1510"/>
      <c r="O1510"/>
      <c r="Q1510"/>
      <c r="R1510"/>
      <c r="S1510"/>
      <c r="T1510"/>
      <c r="U1510"/>
      <c r="V1510"/>
      <c r="Z1510"/>
      <c r="AA1510"/>
    </row>
    <row r="1511" spans="7:27" x14ac:dyDescent="0.45">
      <c r="G1511"/>
      <c r="H1511"/>
      <c r="I1511"/>
      <c r="J1511"/>
      <c r="M1511"/>
      <c r="O1511"/>
      <c r="Q1511"/>
      <c r="R1511"/>
      <c r="S1511"/>
      <c r="T1511"/>
      <c r="U1511"/>
      <c r="V1511"/>
      <c r="Z1511"/>
      <c r="AA1511"/>
    </row>
    <row r="1512" spans="7:27" x14ac:dyDescent="0.45">
      <c r="G1512"/>
      <c r="H1512"/>
      <c r="I1512"/>
      <c r="J1512"/>
      <c r="M1512"/>
      <c r="O1512"/>
      <c r="Q1512"/>
      <c r="R1512"/>
      <c r="S1512"/>
      <c r="T1512"/>
      <c r="U1512"/>
      <c r="V1512"/>
      <c r="Z1512"/>
      <c r="AA1512"/>
    </row>
    <row r="1513" spans="7:27" x14ac:dyDescent="0.45">
      <c r="G1513"/>
      <c r="H1513"/>
      <c r="I1513"/>
      <c r="J1513"/>
      <c r="M1513"/>
      <c r="O1513"/>
      <c r="Q1513"/>
      <c r="R1513"/>
      <c r="S1513"/>
      <c r="T1513"/>
      <c r="U1513"/>
      <c r="V1513"/>
      <c r="Z1513"/>
      <c r="AA1513"/>
    </row>
    <row r="1514" spans="7:27" x14ac:dyDescent="0.45">
      <c r="G1514"/>
      <c r="H1514"/>
      <c r="I1514"/>
      <c r="J1514"/>
      <c r="M1514"/>
      <c r="O1514"/>
      <c r="Q1514"/>
      <c r="R1514"/>
      <c r="S1514"/>
      <c r="T1514"/>
      <c r="U1514"/>
      <c r="V1514"/>
      <c r="Z1514"/>
      <c r="AA1514"/>
    </row>
    <row r="1515" spans="7:27" x14ac:dyDescent="0.45">
      <c r="G1515"/>
      <c r="H1515"/>
      <c r="I1515"/>
      <c r="J1515"/>
      <c r="M1515"/>
      <c r="O1515"/>
      <c r="Q1515"/>
      <c r="R1515"/>
      <c r="S1515"/>
      <c r="T1515"/>
      <c r="U1515"/>
      <c r="V1515"/>
      <c r="Z1515"/>
      <c r="AA1515"/>
    </row>
    <row r="1516" spans="7:27" x14ac:dyDescent="0.45">
      <c r="G1516"/>
      <c r="H1516"/>
      <c r="I1516"/>
      <c r="J1516"/>
      <c r="M1516"/>
      <c r="O1516"/>
      <c r="Q1516"/>
      <c r="R1516"/>
      <c r="S1516"/>
      <c r="T1516"/>
      <c r="U1516"/>
      <c r="V1516"/>
      <c r="Z1516"/>
      <c r="AA1516"/>
    </row>
    <row r="1517" spans="7:27" x14ac:dyDescent="0.45">
      <c r="G1517"/>
      <c r="H1517"/>
      <c r="I1517"/>
      <c r="J1517"/>
      <c r="M1517"/>
      <c r="O1517"/>
      <c r="Q1517"/>
      <c r="R1517"/>
      <c r="S1517"/>
      <c r="T1517"/>
      <c r="U1517"/>
      <c r="V1517"/>
      <c r="Z1517"/>
      <c r="AA1517"/>
    </row>
    <row r="1518" spans="7:27" x14ac:dyDescent="0.45">
      <c r="G1518"/>
      <c r="H1518"/>
      <c r="I1518"/>
      <c r="J1518"/>
      <c r="M1518"/>
      <c r="O1518"/>
      <c r="Q1518"/>
      <c r="R1518"/>
      <c r="S1518"/>
      <c r="T1518"/>
      <c r="U1518"/>
      <c r="V1518"/>
      <c r="Z1518"/>
      <c r="AA1518"/>
    </row>
    <row r="1519" spans="7:27" x14ac:dyDescent="0.45">
      <c r="G1519"/>
      <c r="H1519"/>
      <c r="I1519"/>
      <c r="J1519"/>
      <c r="M1519"/>
      <c r="O1519"/>
      <c r="Q1519"/>
      <c r="R1519"/>
      <c r="S1519"/>
      <c r="T1519"/>
      <c r="U1519"/>
      <c r="V1519"/>
      <c r="Z1519"/>
      <c r="AA1519"/>
    </row>
    <row r="1520" spans="7:27" x14ac:dyDescent="0.45">
      <c r="G1520"/>
      <c r="H1520"/>
      <c r="I1520"/>
      <c r="J1520"/>
      <c r="M1520"/>
      <c r="O1520"/>
      <c r="Q1520"/>
      <c r="R1520"/>
      <c r="S1520"/>
      <c r="T1520"/>
      <c r="U1520"/>
      <c r="V1520"/>
      <c r="Z1520"/>
      <c r="AA1520"/>
    </row>
    <row r="1521" spans="7:27" x14ac:dyDescent="0.45">
      <c r="G1521"/>
      <c r="H1521"/>
      <c r="I1521"/>
      <c r="J1521"/>
      <c r="M1521"/>
      <c r="O1521"/>
      <c r="Q1521"/>
      <c r="R1521"/>
      <c r="S1521"/>
      <c r="T1521"/>
      <c r="U1521"/>
      <c r="V1521"/>
      <c r="Z1521"/>
      <c r="AA1521"/>
    </row>
    <row r="1522" spans="7:27" x14ac:dyDescent="0.45">
      <c r="G1522"/>
      <c r="H1522"/>
      <c r="I1522"/>
      <c r="J1522"/>
      <c r="M1522"/>
      <c r="O1522"/>
      <c r="Q1522"/>
      <c r="R1522"/>
      <c r="S1522"/>
      <c r="T1522"/>
      <c r="U1522"/>
      <c r="V1522"/>
      <c r="Z1522"/>
      <c r="AA1522"/>
    </row>
    <row r="1523" spans="7:27" x14ac:dyDescent="0.45">
      <c r="G1523"/>
      <c r="H1523"/>
      <c r="I1523"/>
      <c r="J1523"/>
      <c r="M1523"/>
      <c r="O1523"/>
      <c r="Q1523"/>
      <c r="R1523"/>
      <c r="S1523"/>
      <c r="T1523"/>
      <c r="U1523"/>
      <c r="V1523"/>
      <c r="Z1523"/>
      <c r="AA1523"/>
    </row>
    <row r="1524" spans="7:27" x14ac:dyDescent="0.45">
      <c r="G1524"/>
      <c r="H1524"/>
      <c r="I1524"/>
      <c r="J1524"/>
      <c r="M1524"/>
      <c r="O1524"/>
      <c r="Q1524"/>
      <c r="R1524"/>
      <c r="S1524"/>
      <c r="T1524"/>
      <c r="U1524"/>
      <c r="V1524"/>
      <c r="Z1524"/>
      <c r="AA1524"/>
    </row>
    <row r="1525" spans="7:27" x14ac:dyDescent="0.45">
      <c r="G1525"/>
      <c r="H1525"/>
      <c r="I1525"/>
      <c r="J1525"/>
      <c r="M1525"/>
      <c r="O1525"/>
      <c r="Q1525"/>
      <c r="R1525"/>
      <c r="S1525"/>
      <c r="T1525"/>
      <c r="U1525"/>
      <c r="V1525"/>
      <c r="Z1525"/>
      <c r="AA1525"/>
    </row>
    <row r="1526" spans="7:27" x14ac:dyDescent="0.45">
      <c r="G1526"/>
      <c r="H1526"/>
      <c r="I1526"/>
      <c r="J1526"/>
      <c r="M1526"/>
      <c r="O1526"/>
      <c r="Q1526"/>
      <c r="R1526"/>
      <c r="S1526"/>
      <c r="T1526"/>
      <c r="U1526"/>
      <c r="V1526"/>
      <c r="Z1526"/>
      <c r="AA1526"/>
    </row>
    <row r="1527" spans="7:27" x14ac:dyDescent="0.45">
      <c r="G1527"/>
      <c r="H1527"/>
      <c r="I1527"/>
      <c r="J1527"/>
      <c r="M1527"/>
      <c r="O1527"/>
      <c r="Q1527"/>
      <c r="R1527"/>
      <c r="S1527"/>
      <c r="T1527"/>
      <c r="U1527"/>
      <c r="V1527"/>
      <c r="Z1527"/>
      <c r="AA1527"/>
    </row>
    <row r="1528" spans="7:27" x14ac:dyDescent="0.45">
      <c r="G1528"/>
      <c r="H1528"/>
      <c r="I1528"/>
      <c r="J1528"/>
      <c r="M1528"/>
      <c r="O1528"/>
      <c r="Q1528"/>
      <c r="R1528"/>
      <c r="S1528"/>
      <c r="T1528"/>
      <c r="U1528"/>
      <c r="V1528"/>
      <c r="Z1528"/>
      <c r="AA1528"/>
    </row>
    <row r="1529" spans="7:27" x14ac:dyDescent="0.45">
      <c r="G1529"/>
      <c r="H1529"/>
      <c r="I1529"/>
      <c r="J1529"/>
      <c r="M1529"/>
      <c r="O1529"/>
      <c r="Q1529"/>
      <c r="R1529"/>
      <c r="S1529"/>
      <c r="T1529"/>
      <c r="U1529"/>
      <c r="V1529"/>
      <c r="Z1529"/>
      <c r="AA1529"/>
    </row>
    <row r="1530" spans="7:27" x14ac:dyDescent="0.45">
      <c r="G1530"/>
      <c r="H1530"/>
      <c r="I1530"/>
      <c r="J1530"/>
      <c r="M1530"/>
      <c r="O1530"/>
      <c r="Q1530"/>
      <c r="R1530"/>
      <c r="S1530"/>
      <c r="T1530"/>
      <c r="U1530"/>
      <c r="V1530"/>
      <c r="Z1530"/>
      <c r="AA1530"/>
    </row>
    <row r="1531" spans="7:27" x14ac:dyDescent="0.45">
      <c r="G1531"/>
      <c r="H1531"/>
      <c r="I1531"/>
      <c r="J1531"/>
      <c r="M1531"/>
      <c r="O1531"/>
      <c r="Q1531"/>
      <c r="R1531"/>
      <c r="S1531"/>
      <c r="T1531"/>
      <c r="U1531"/>
      <c r="V1531"/>
      <c r="Z1531"/>
      <c r="AA1531"/>
    </row>
    <row r="1532" spans="7:27" x14ac:dyDescent="0.45">
      <c r="G1532"/>
      <c r="H1532"/>
      <c r="I1532"/>
      <c r="J1532"/>
      <c r="M1532"/>
      <c r="O1532"/>
      <c r="Q1532"/>
      <c r="R1532"/>
      <c r="S1532"/>
      <c r="T1532"/>
      <c r="U1532"/>
      <c r="V1532"/>
      <c r="Z1532"/>
      <c r="AA1532"/>
    </row>
    <row r="1533" spans="7:27" x14ac:dyDescent="0.45">
      <c r="G1533"/>
      <c r="H1533"/>
      <c r="I1533"/>
      <c r="J1533"/>
      <c r="M1533"/>
      <c r="O1533"/>
      <c r="Q1533"/>
      <c r="R1533"/>
      <c r="S1533"/>
      <c r="T1533"/>
      <c r="U1533"/>
      <c r="V1533"/>
      <c r="Z1533"/>
      <c r="AA1533"/>
    </row>
    <row r="1534" spans="7:27" x14ac:dyDescent="0.45">
      <c r="G1534"/>
      <c r="H1534"/>
      <c r="I1534"/>
      <c r="J1534"/>
      <c r="M1534"/>
      <c r="O1534"/>
      <c r="Q1534"/>
      <c r="R1534"/>
      <c r="S1534"/>
      <c r="T1534"/>
      <c r="U1534"/>
      <c r="V1534"/>
      <c r="Z1534"/>
      <c r="AA1534"/>
    </row>
    <row r="1535" spans="7:27" x14ac:dyDescent="0.45">
      <c r="G1535"/>
      <c r="H1535"/>
      <c r="I1535"/>
      <c r="J1535"/>
      <c r="M1535"/>
      <c r="O1535"/>
      <c r="Q1535"/>
      <c r="R1535"/>
      <c r="S1535"/>
      <c r="T1535"/>
      <c r="U1535"/>
      <c r="V1535"/>
      <c r="Z1535"/>
      <c r="AA1535"/>
    </row>
    <row r="1536" spans="7:27" x14ac:dyDescent="0.45">
      <c r="G1536"/>
      <c r="H1536"/>
      <c r="I1536"/>
      <c r="J1536"/>
      <c r="M1536"/>
      <c r="O1536"/>
      <c r="Q1536"/>
      <c r="R1536"/>
      <c r="S1536"/>
      <c r="T1536"/>
      <c r="U1536"/>
      <c r="V1536"/>
      <c r="Z1536"/>
      <c r="AA1536"/>
    </row>
    <row r="1537" spans="7:27" x14ac:dyDescent="0.45">
      <c r="G1537"/>
      <c r="H1537"/>
      <c r="I1537"/>
      <c r="J1537"/>
      <c r="M1537"/>
      <c r="O1537"/>
      <c r="Q1537"/>
      <c r="R1537"/>
      <c r="S1537"/>
      <c r="T1537"/>
      <c r="U1537"/>
      <c r="V1537"/>
      <c r="Z1537"/>
      <c r="AA1537"/>
    </row>
    <row r="1538" spans="7:27" x14ac:dyDescent="0.45">
      <c r="G1538"/>
      <c r="H1538"/>
      <c r="I1538"/>
      <c r="J1538"/>
      <c r="M1538"/>
      <c r="O1538"/>
      <c r="Q1538"/>
      <c r="R1538"/>
      <c r="S1538"/>
      <c r="T1538"/>
      <c r="U1538"/>
      <c r="V1538"/>
      <c r="Z1538"/>
      <c r="AA1538"/>
    </row>
    <row r="1539" spans="7:27" x14ac:dyDescent="0.45">
      <c r="G1539"/>
      <c r="H1539"/>
      <c r="I1539"/>
      <c r="J1539"/>
      <c r="M1539"/>
      <c r="O1539"/>
      <c r="Q1539"/>
      <c r="R1539"/>
      <c r="S1539"/>
      <c r="T1539"/>
      <c r="U1539"/>
      <c r="V1539"/>
      <c r="Z1539"/>
      <c r="AA1539"/>
    </row>
    <row r="1540" spans="7:27" x14ac:dyDescent="0.45">
      <c r="G1540"/>
      <c r="H1540"/>
      <c r="I1540"/>
      <c r="J1540"/>
      <c r="M1540"/>
      <c r="O1540"/>
      <c r="Q1540"/>
      <c r="R1540"/>
      <c r="S1540"/>
      <c r="T1540"/>
      <c r="U1540"/>
      <c r="V1540"/>
      <c r="Z1540"/>
      <c r="AA1540"/>
    </row>
    <row r="1541" spans="7:27" x14ac:dyDescent="0.45">
      <c r="G1541"/>
      <c r="H1541"/>
      <c r="I1541"/>
      <c r="J1541"/>
      <c r="M1541"/>
      <c r="O1541"/>
      <c r="Q1541"/>
      <c r="R1541"/>
      <c r="S1541"/>
      <c r="T1541"/>
      <c r="U1541"/>
      <c r="V1541"/>
      <c r="Z1541"/>
      <c r="AA1541"/>
    </row>
    <row r="1542" spans="7:27" x14ac:dyDescent="0.45">
      <c r="G1542"/>
      <c r="H1542"/>
      <c r="I1542"/>
      <c r="J1542"/>
      <c r="M1542"/>
      <c r="O1542"/>
      <c r="Q1542"/>
      <c r="R1542"/>
      <c r="S1542"/>
      <c r="T1542"/>
      <c r="U1542"/>
      <c r="V1542"/>
      <c r="Z1542"/>
      <c r="AA1542"/>
    </row>
    <row r="1543" spans="7:27" x14ac:dyDescent="0.45">
      <c r="G1543"/>
      <c r="H1543"/>
      <c r="I1543"/>
      <c r="J1543"/>
      <c r="M1543"/>
      <c r="O1543"/>
      <c r="Q1543"/>
      <c r="R1543"/>
      <c r="S1543"/>
      <c r="T1543"/>
      <c r="U1543"/>
      <c r="V1543"/>
      <c r="Z1543"/>
      <c r="AA1543"/>
    </row>
    <row r="1544" spans="7:27" x14ac:dyDescent="0.45">
      <c r="G1544"/>
      <c r="H1544"/>
      <c r="I1544"/>
      <c r="J1544"/>
      <c r="M1544"/>
      <c r="O1544"/>
      <c r="Q1544"/>
      <c r="R1544"/>
      <c r="S1544"/>
      <c r="T1544"/>
      <c r="U1544"/>
      <c r="V1544"/>
      <c r="Z1544"/>
      <c r="AA1544"/>
    </row>
    <row r="1545" spans="7:27" x14ac:dyDescent="0.45">
      <c r="G1545"/>
      <c r="H1545"/>
      <c r="I1545"/>
      <c r="J1545"/>
      <c r="M1545"/>
      <c r="O1545"/>
      <c r="Q1545"/>
      <c r="R1545"/>
      <c r="S1545"/>
      <c r="T1545"/>
      <c r="U1545"/>
      <c r="V1545"/>
      <c r="Z1545"/>
      <c r="AA1545"/>
    </row>
    <row r="1546" spans="7:27" x14ac:dyDescent="0.45">
      <c r="G1546"/>
      <c r="H1546"/>
      <c r="I1546"/>
      <c r="J1546"/>
      <c r="M1546"/>
      <c r="O1546"/>
      <c r="Q1546"/>
      <c r="R1546"/>
      <c r="S1546"/>
      <c r="T1546"/>
      <c r="U1546"/>
      <c r="V1546"/>
      <c r="Z1546"/>
      <c r="AA1546"/>
    </row>
    <row r="1547" spans="7:27" x14ac:dyDescent="0.45">
      <c r="G1547"/>
      <c r="H1547"/>
      <c r="I1547"/>
      <c r="J1547"/>
      <c r="M1547"/>
      <c r="O1547"/>
      <c r="Q1547"/>
      <c r="R1547"/>
      <c r="S1547"/>
      <c r="T1547"/>
      <c r="U1547"/>
      <c r="V1547"/>
      <c r="Z1547"/>
      <c r="AA1547"/>
    </row>
    <row r="1548" spans="7:27" x14ac:dyDescent="0.45">
      <c r="G1548"/>
      <c r="H1548"/>
      <c r="I1548"/>
      <c r="J1548"/>
      <c r="M1548"/>
      <c r="O1548"/>
      <c r="Q1548"/>
      <c r="R1548"/>
      <c r="S1548"/>
      <c r="T1548"/>
      <c r="U1548"/>
      <c r="V1548"/>
      <c r="Z1548"/>
      <c r="AA1548"/>
    </row>
    <row r="1549" spans="7:27" x14ac:dyDescent="0.45">
      <c r="G1549"/>
      <c r="H1549"/>
      <c r="I1549"/>
      <c r="J1549"/>
      <c r="M1549"/>
      <c r="O1549"/>
      <c r="Q1549"/>
      <c r="R1549"/>
      <c r="S1549"/>
      <c r="T1549"/>
      <c r="U1549"/>
      <c r="V1549"/>
      <c r="Z1549"/>
      <c r="AA1549"/>
    </row>
    <row r="1550" spans="7:27" x14ac:dyDescent="0.45">
      <c r="G1550"/>
      <c r="H1550"/>
      <c r="I1550"/>
      <c r="J1550"/>
      <c r="M1550"/>
      <c r="O1550"/>
      <c r="Q1550"/>
      <c r="R1550"/>
      <c r="S1550"/>
      <c r="T1550"/>
      <c r="U1550"/>
      <c r="V1550"/>
      <c r="Z1550"/>
      <c r="AA1550"/>
    </row>
    <row r="1551" spans="7:27" x14ac:dyDescent="0.45">
      <c r="G1551"/>
      <c r="H1551"/>
      <c r="I1551"/>
      <c r="J1551"/>
      <c r="M1551"/>
      <c r="O1551"/>
      <c r="Q1551"/>
      <c r="R1551"/>
      <c r="S1551"/>
      <c r="T1551"/>
      <c r="U1551"/>
      <c r="V1551"/>
      <c r="Z1551"/>
      <c r="AA1551"/>
    </row>
    <row r="1552" spans="7:27" x14ac:dyDescent="0.45">
      <c r="G1552"/>
      <c r="H1552"/>
      <c r="I1552"/>
      <c r="J1552"/>
      <c r="M1552"/>
      <c r="O1552"/>
      <c r="Q1552"/>
      <c r="R1552"/>
      <c r="S1552"/>
      <c r="T1552"/>
      <c r="U1552"/>
      <c r="V1552"/>
      <c r="Z1552"/>
      <c r="AA1552"/>
    </row>
    <row r="1553" spans="7:27" x14ac:dyDescent="0.45">
      <c r="G1553"/>
      <c r="H1553"/>
      <c r="I1553"/>
      <c r="J1553"/>
      <c r="M1553"/>
      <c r="O1553"/>
      <c r="Q1553"/>
      <c r="R1553"/>
      <c r="S1553"/>
      <c r="T1553"/>
      <c r="U1553"/>
      <c r="V1553"/>
      <c r="Z1553"/>
      <c r="AA1553"/>
    </row>
    <row r="1554" spans="7:27" x14ac:dyDescent="0.45">
      <c r="G1554"/>
      <c r="H1554"/>
      <c r="I1554"/>
      <c r="J1554"/>
      <c r="M1554"/>
      <c r="O1554"/>
      <c r="Q1554"/>
      <c r="R1554"/>
      <c r="S1554"/>
      <c r="T1554"/>
      <c r="U1554"/>
      <c r="V1554"/>
      <c r="Z1554"/>
      <c r="AA1554"/>
    </row>
    <row r="1555" spans="7:27" x14ac:dyDescent="0.45">
      <c r="G1555"/>
      <c r="H1555"/>
      <c r="I1555"/>
      <c r="J1555"/>
      <c r="M1555"/>
      <c r="O1555"/>
      <c r="Q1555"/>
      <c r="R1555"/>
      <c r="S1555"/>
      <c r="T1555"/>
      <c r="U1555"/>
      <c r="V1555"/>
      <c r="Z1555"/>
      <c r="AA1555"/>
    </row>
    <row r="1556" spans="7:27" x14ac:dyDescent="0.45">
      <c r="G1556"/>
      <c r="H1556"/>
      <c r="I1556"/>
      <c r="J1556"/>
      <c r="M1556"/>
      <c r="O1556"/>
      <c r="Q1556"/>
      <c r="R1556"/>
      <c r="S1556"/>
      <c r="T1556"/>
      <c r="U1556"/>
      <c r="V1556"/>
      <c r="Z1556"/>
      <c r="AA1556"/>
    </row>
    <row r="1557" spans="7:27" x14ac:dyDescent="0.45">
      <c r="G1557"/>
      <c r="H1557"/>
      <c r="I1557"/>
      <c r="J1557"/>
      <c r="M1557"/>
      <c r="O1557"/>
      <c r="Q1557"/>
      <c r="R1557"/>
      <c r="S1557"/>
      <c r="T1557"/>
      <c r="U1557"/>
      <c r="V1557"/>
      <c r="Z1557"/>
      <c r="AA1557"/>
    </row>
    <row r="1558" spans="7:27" x14ac:dyDescent="0.45">
      <c r="G1558"/>
      <c r="H1558"/>
      <c r="I1558"/>
      <c r="J1558"/>
      <c r="M1558"/>
      <c r="O1558"/>
      <c r="Q1558"/>
      <c r="R1558"/>
      <c r="S1558"/>
      <c r="T1558"/>
      <c r="U1558"/>
      <c r="V1558"/>
      <c r="Z1558"/>
      <c r="AA1558"/>
    </row>
    <row r="1559" spans="7:27" x14ac:dyDescent="0.45">
      <c r="G1559"/>
      <c r="H1559"/>
      <c r="I1559"/>
      <c r="J1559"/>
      <c r="M1559"/>
      <c r="O1559"/>
      <c r="Q1559"/>
      <c r="R1559"/>
      <c r="S1559"/>
      <c r="T1559"/>
      <c r="U1559"/>
      <c r="V1559"/>
      <c r="Z1559"/>
      <c r="AA1559"/>
    </row>
    <row r="1560" spans="7:27" x14ac:dyDescent="0.45">
      <c r="G1560"/>
      <c r="H1560"/>
      <c r="I1560"/>
      <c r="J1560"/>
      <c r="M1560"/>
      <c r="O1560"/>
      <c r="Q1560"/>
      <c r="R1560"/>
      <c r="S1560"/>
      <c r="T1560"/>
      <c r="U1560"/>
      <c r="V1560"/>
      <c r="Z1560"/>
      <c r="AA1560"/>
    </row>
    <row r="1561" spans="7:27" x14ac:dyDescent="0.45">
      <c r="G1561"/>
      <c r="H1561"/>
      <c r="I1561"/>
      <c r="J1561"/>
      <c r="M1561"/>
      <c r="O1561"/>
      <c r="Q1561"/>
      <c r="R1561"/>
      <c r="S1561"/>
      <c r="T1561"/>
      <c r="U1561"/>
      <c r="V1561"/>
      <c r="Z1561"/>
      <c r="AA1561"/>
    </row>
    <row r="1562" spans="7:27" x14ac:dyDescent="0.45">
      <c r="G1562"/>
      <c r="H1562"/>
      <c r="I1562"/>
      <c r="J1562"/>
      <c r="M1562"/>
      <c r="O1562"/>
      <c r="Q1562"/>
      <c r="R1562"/>
      <c r="S1562"/>
      <c r="T1562"/>
      <c r="U1562"/>
      <c r="V1562"/>
      <c r="Z1562"/>
      <c r="AA1562"/>
    </row>
    <row r="1563" spans="7:27" x14ac:dyDescent="0.45">
      <c r="G1563"/>
      <c r="H1563"/>
      <c r="I1563"/>
      <c r="J1563"/>
      <c r="M1563"/>
      <c r="O1563"/>
      <c r="Q1563"/>
      <c r="R1563"/>
      <c r="S1563"/>
      <c r="T1563"/>
      <c r="U1563"/>
      <c r="V1563"/>
      <c r="Z1563"/>
      <c r="AA1563"/>
    </row>
    <row r="1564" spans="7:27" x14ac:dyDescent="0.45">
      <c r="G1564"/>
      <c r="H1564"/>
      <c r="I1564"/>
      <c r="J1564"/>
      <c r="M1564"/>
      <c r="O1564"/>
      <c r="Q1564"/>
      <c r="R1564"/>
      <c r="S1564"/>
      <c r="T1564"/>
      <c r="U1564"/>
      <c r="V1564"/>
      <c r="Z1564"/>
      <c r="AA1564"/>
    </row>
    <row r="1565" spans="7:27" x14ac:dyDescent="0.45">
      <c r="G1565"/>
      <c r="H1565"/>
      <c r="I1565"/>
      <c r="J1565"/>
      <c r="M1565"/>
      <c r="O1565"/>
      <c r="Q1565"/>
      <c r="R1565"/>
      <c r="S1565"/>
      <c r="T1565"/>
      <c r="U1565"/>
      <c r="V1565"/>
      <c r="Z1565"/>
      <c r="AA1565"/>
    </row>
    <row r="1566" spans="7:27" x14ac:dyDescent="0.45">
      <c r="G1566"/>
      <c r="H1566"/>
      <c r="I1566"/>
      <c r="J1566"/>
      <c r="M1566"/>
      <c r="O1566"/>
      <c r="Q1566"/>
      <c r="R1566"/>
      <c r="S1566"/>
      <c r="T1566"/>
      <c r="U1566"/>
      <c r="V1566"/>
      <c r="Z1566"/>
      <c r="AA1566"/>
    </row>
    <row r="1567" spans="7:27" x14ac:dyDescent="0.45">
      <c r="G1567"/>
      <c r="H1567"/>
      <c r="I1567"/>
      <c r="J1567"/>
      <c r="M1567"/>
      <c r="O1567"/>
      <c r="Q1567"/>
      <c r="R1567"/>
      <c r="S1567"/>
      <c r="T1567"/>
      <c r="U1567"/>
      <c r="V1567"/>
      <c r="Z1567"/>
      <c r="AA1567"/>
    </row>
    <row r="1568" spans="7:27" x14ac:dyDescent="0.45">
      <c r="G1568"/>
      <c r="H1568"/>
      <c r="I1568"/>
      <c r="J1568"/>
      <c r="M1568"/>
      <c r="O1568"/>
      <c r="Q1568"/>
      <c r="R1568"/>
      <c r="S1568"/>
      <c r="T1568"/>
      <c r="U1568"/>
      <c r="V1568"/>
      <c r="Z1568"/>
      <c r="AA1568"/>
    </row>
    <row r="1569" spans="7:27" x14ac:dyDescent="0.45">
      <c r="G1569"/>
      <c r="H1569"/>
      <c r="I1569"/>
      <c r="J1569"/>
      <c r="M1569"/>
      <c r="O1569"/>
      <c r="Q1569"/>
      <c r="R1569"/>
      <c r="S1569"/>
      <c r="T1569"/>
      <c r="U1569"/>
      <c r="V1569"/>
      <c r="Z1569"/>
      <c r="AA1569"/>
    </row>
    <row r="1570" spans="7:27" x14ac:dyDescent="0.45">
      <c r="G1570"/>
      <c r="H1570"/>
      <c r="I1570"/>
      <c r="J1570"/>
      <c r="M1570"/>
      <c r="O1570"/>
      <c r="Q1570"/>
      <c r="R1570"/>
      <c r="S1570"/>
      <c r="T1570"/>
      <c r="U1570"/>
      <c r="V1570"/>
      <c r="Z1570"/>
      <c r="AA1570"/>
    </row>
    <row r="1571" spans="7:27" x14ac:dyDescent="0.45">
      <c r="G1571"/>
      <c r="H1571"/>
      <c r="I1571"/>
      <c r="J1571"/>
      <c r="M1571"/>
      <c r="O1571"/>
      <c r="Q1571"/>
      <c r="R1571"/>
      <c r="S1571"/>
      <c r="T1571"/>
      <c r="U1571"/>
      <c r="V1571"/>
      <c r="Z1571"/>
      <c r="AA1571"/>
    </row>
    <row r="1572" spans="7:27" x14ac:dyDescent="0.45">
      <c r="G1572"/>
      <c r="H1572"/>
      <c r="I1572"/>
      <c r="J1572"/>
      <c r="M1572"/>
      <c r="O1572"/>
      <c r="Q1572"/>
      <c r="R1572"/>
      <c r="S1572"/>
      <c r="T1572"/>
      <c r="U1572"/>
      <c r="V1572"/>
      <c r="Z1572"/>
      <c r="AA1572"/>
    </row>
    <row r="1573" spans="7:27" x14ac:dyDescent="0.45">
      <c r="G1573"/>
      <c r="H1573"/>
      <c r="I1573"/>
      <c r="J1573"/>
      <c r="M1573"/>
      <c r="O1573"/>
      <c r="Q1573"/>
      <c r="R1573"/>
      <c r="S1573"/>
      <c r="T1573"/>
      <c r="U1573"/>
      <c r="V1573"/>
      <c r="Z1573"/>
      <c r="AA1573"/>
    </row>
    <row r="1574" spans="7:27" x14ac:dyDescent="0.45">
      <c r="G1574"/>
      <c r="H1574"/>
      <c r="I1574"/>
      <c r="J1574"/>
      <c r="M1574"/>
      <c r="O1574"/>
      <c r="Q1574"/>
      <c r="R1574"/>
      <c r="S1574"/>
      <c r="T1574"/>
      <c r="U1574"/>
      <c r="V1574"/>
      <c r="Z1574"/>
      <c r="AA1574"/>
    </row>
    <row r="1575" spans="7:27" x14ac:dyDescent="0.45">
      <c r="G1575"/>
      <c r="H1575"/>
      <c r="I1575"/>
      <c r="J1575"/>
      <c r="M1575"/>
      <c r="O1575"/>
      <c r="Q1575"/>
      <c r="R1575"/>
      <c r="S1575"/>
      <c r="T1575"/>
      <c r="U1575"/>
      <c r="V1575"/>
      <c r="Z1575"/>
      <c r="AA1575"/>
    </row>
    <row r="1576" spans="7:27" x14ac:dyDescent="0.45">
      <c r="G1576"/>
      <c r="H1576"/>
      <c r="I1576"/>
      <c r="J1576"/>
      <c r="M1576"/>
      <c r="O1576"/>
      <c r="Q1576"/>
      <c r="R1576"/>
      <c r="S1576"/>
      <c r="T1576"/>
      <c r="U1576"/>
      <c r="V1576"/>
      <c r="Z1576"/>
      <c r="AA1576"/>
    </row>
    <row r="1577" spans="7:27" x14ac:dyDescent="0.45">
      <c r="G1577"/>
      <c r="H1577"/>
      <c r="I1577"/>
      <c r="J1577"/>
      <c r="M1577"/>
      <c r="O1577"/>
      <c r="Q1577"/>
      <c r="R1577"/>
      <c r="S1577"/>
      <c r="T1577"/>
      <c r="U1577"/>
      <c r="V1577"/>
      <c r="Z1577"/>
      <c r="AA1577"/>
    </row>
    <row r="1578" spans="7:27" x14ac:dyDescent="0.45">
      <c r="G1578"/>
      <c r="H1578"/>
      <c r="I1578"/>
      <c r="J1578"/>
      <c r="M1578"/>
      <c r="O1578"/>
      <c r="Q1578"/>
      <c r="R1578"/>
      <c r="S1578"/>
      <c r="T1578"/>
      <c r="U1578"/>
      <c r="V1578"/>
      <c r="Z1578"/>
      <c r="AA1578"/>
    </row>
    <row r="1579" spans="7:27" x14ac:dyDescent="0.45">
      <c r="G1579"/>
      <c r="H1579"/>
      <c r="I1579"/>
      <c r="J1579"/>
      <c r="M1579"/>
      <c r="O1579"/>
      <c r="Q1579"/>
      <c r="R1579"/>
      <c r="S1579"/>
      <c r="T1579"/>
      <c r="U1579"/>
      <c r="V1579"/>
      <c r="Z1579"/>
      <c r="AA1579"/>
    </row>
    <row r="1580" spans="7:27" x14ac:dyDescent="0.45">
      <c r="G1580"/>
      <c r="H1580"/>
      <c r="I1580"/>
      <c r="J1580"/>
      <c r="M1580"/>
      <c r="O1580"/>
      <c r="Q1580"/>
      <c r="R1580"/>
      <c r="S1580"/>
      <c r="T1580"/>
      <c r="U1580"/>
      <c r="V1580"/>
      <c r="Z1580"/>
      <c r="AA1580"/>
    </row>
    <row r="1581" spans="7:27" x14ac:dyDescent="0.45">
      <c r="G1581"/>
      <c r="H1581"/>
      <c r="I1581"/>
      <c r="J1581"/>
      <c r="M1581"/>
      <c r="O1581"/>
      <c r="Q1581"/>
      <c r="R1581"/>
      <c r="S1581"/>
      <c r="T1581"/>
      <c r="U1581"/>
      <c r="V1581"/>
      <c r="Z1581"/>
      <c r="AA1581"/>
    </row>
    <row r="1582" spans="7:27" x14ac:dyDescent="0.45">
      <c r="G1582"/>
      <c r="H1582"/>
      <c r="I1582"/>
      <c r="J1582"/>
      <c r="M1582"/>
      <c r="O1582"/>
      <c r="Q1582"/>
      <c r="R1582"/>
      <c r="S1582"/>
      <c r="T1582"/>
      <c r="U1582"/>
      <c r="V1582"/>
      <c r="Z1582"/>
      <c r="AA1582"/>
    </row>
    <row r="1583" spans="7:27" x14ac:dyDescent="0.45">
      <c r="G1583"/>
      <c r="H1583"/>
      <c r="I1583"/>
      <c r="J1583"/>
      <c r="M1583"/>
      <c r="O1583"/>
      <c r="Q1583"/>
      <c r="R1583"/>
      <c r="S1583"/>
      <c r="T1583"/>
      <c r="U1583"/>
      <c r="V1583"/>
      <c r="Z1583"/>
      <c r="AA1583"/>
    </row>
    <row r="1584" spans="7:27" x14ac:dyDescent="0.45">
      <c r="G1584"/>
      <c r="H1584"/>
      <c r="I1584"/>
      <c r="J1584"/>
      <c r="M1584"/>
      <c r="O1584"/>
      <c r="Q1584"/>
      <c r="R1584"/>
      <c r="S1584"/>
      <c r="T1584"/>
      <c r="U1584"/>
      <c r="V1584"/>
      <c r="Z1584"/>
      <c r="AA1584"/>
    </row>
    <row r="1585" spans="7:27" x14ac:dyDescent="0.45">
      <c r="G1585"/>
      <c r="H1585"/>
      <c r="I1585"/>
      <c r="J1585"/>
      <c r="M1585"/>
      <c r="O1585"/>
      <c r="Q1585"/>
      <c r="R1585"/>
      <c r="S1585"/>
      <c r="T1585"/>
      <c r="U1585"/>
      <c r="V1585"/>
      <c r="Z1585"/>
      <c r="AA1585"/>
    </row>
    <row r="1586" spans="7:27" x14ac:dyDescent="0.45">
      <c r="G1586"/>
      <c r="H1586"/>
      <c r="I1586"/>
      <c r="J1586"/>
      <c r="M1586"/>
      <c r="O1586"/>
      <c r="Q1586"/>
      <c r="R1586"/>
      <c r="S1586"/>
      <c r="T1586"/>
      <c r="U1586"/>
      <c r="V1586"/>
      <c r="Z1586"/>
      <c r="AA1586"/>
    </row>
    <row r="1587" spans="7:27" x14ac:dyDescent="0.45">
      <c r="G1587"/>
      <c r="H1587"/>
      <c r="I1587"/>
      <c r="J1587"/>
      <c r="M1587"/>
      <c r="O1587"/>
      <c r="Q1587"/>
      <c r="R1587"/>
      <c r="S1587"/>
      <c r="T1587"/>
      <c r="U1587"/>
      <c r="V1587"/>
      <c r="Z1587"/>
      <c r="AA1587"/>
    </row>
    <row r="1588" spans="7:27" x14ac:dyDescent="0.45">
      <c r="G1588"/>
      <c r="H1588"/>
      <c r="I1588"/>
      <c r="J1588"/>
      <c r="M1588"/>
      <c r="O1588"/>
      <c r="Q1588"/>
      <c r="R1588"/>
      <c r="S1588"/>
      <c r="T1588"/>
      <c r="U1588"/>
      <c r="V1588"/>
      <c r="Z1588"/>
      <c r="AA1588"/>
    </row>
    <row r="1589" spans="7:27" x14ac:dyDescent="0.45">
      <c r="G1589"/>
      <c r="H1589"/>
      <c r="I1589"/>
      <c r="J1589"/>
      <c r="M1589"/>
      <c r="O1589"/>
      <c r="Q1589"/>
      <c r="R1589"/>
      <c r="S1589"/>
      <c r="T1589"/>
      <c r="U1589"/>
      <c r="V1589"/>
      <c r="Z1589"/>
      <c r="AA1589"/>
    </row>
    <row r="1590" spans="7:27" x14ac:dyDescent="0.45">
      <c r="G1590"/>
      <c r="H1590"/>
      <c r="I1590"/>
      <c r="J1590"/>
      <c r="M1590"/>
      <c r="O1590"/>
      <c r="Q1590"/>
      <c r="R1590"/>
      <c r="S1590"/>
      <c r="T1590"/>
      <c r="U1590"/>
      <c r="V1590"/>
      <c r="Z1590"/>
      <c r="AA1590"/>
    </row>
    <row r="1591" spans="7:27" x14ac:dyDescent="0.45">
      <c r="G1591"/>
      <c r="H1591"/>
      <c r="I1591"/>
      <c r="J1591"/>
      <c r="M1591"/>
      <c r="O1591"/>
      <c r="Q1591"/>
      <c r="R1591"/>
      <c r="S1591"/>
      <c r="T1591"/>
      <c r="U1591"/>
      <c r="V1591"/>
      <c r="Z1591"/>
      <c r="AA1591"/>
    </row>
    <row r="1592" spans="7:27" x14ac:dyDescent="0.45">
      <c r="G1592"/>
      <c r="H1592"/>
      <c r="I1592"/>
      <c r="J1592"/>
      <c r="M1592"/>
      <c r="O1592"/>
      <c r="Q1592"/>
      <c r="R1592"/>
      <c r="S1592"/>
      <c r="T1592"/>
      <c r="U1592"/>
      <c r="V1592"/>
      <c r="Z1592"/>
      <c r="AA1592"/>
    </row>
    <row r="1593" spans="7:27" x14ac:dyDescent="0.45">
      <c r="G1593"/>
      <c r="H1593"/>
      <c r="I1593"/>
      <c r="J1593"/>
      <c r="M1593"/>
      <c r="O1593"/>
      <c r="Q1593"/>
      <c r="R1593"/>
      <c r="S1593"/>
      <c r="T1593"/>
      <c r="U1593"/>
      <c r="V1593"/>
      <c r="Z1593"/>
      <c r="AA1593"/>
    </row>
    <row r="1594" spans="7:27" x14ac:dyDescent="0.45">
      <c r="G1594"/>
      <c r="H1594"/>
      <c r="I1594"/>
      <c r="J1594"/>
      <c r="M1594"/>
      <c r="O1594"/>
      <c r="Q1594"/>
      <c r="R1594"/>
      <c r="S1594"/>
      <c r="T1594"/>
      <c r="U1594"/>
      <c r="V1594"/>
      <c r="Z1594"/>
      <c r="AA1594"/>
    </row>
    <row r="1595" spans="7:27" x14ac:dyDescent="0.45">
      <c r="G1595"/>
      <c r="H1595"/>
      <c r="I1595"/>
      <c r="J1595"/>
      <c r="M1595"/>
      <c r="O1595"/>
      <c r="Q1595"/>
      <c r="R1595"/>
      <c r="S1595"/>
      <c r="T1595"/>
      <c r="U1595"/>
      <c r="V1595"/>
      <c r="Z1595"/>
      <c r="AA1595"/>
    </row>
    <row r="1596" spans="7:27" x14ac:dyDescent="0.45">
      <c r="G1596"/>
      <c r="H1596"/>
      <c r="I1596"/>
      <c r="J1596"/>
      <c r="M1596"/>
      <c r="O1596"/>
      <c r="Q1596"/>
      <c r="R1596"/>
      <c r="S1596"/>
      <c r="T1596"/>
      <c r="U1596"/>
      <c r="V1596"/>
      <c r="Z1596"/>
      <c r="AA1596"/>
    </row>
    <row r="1597" spans="7:27" x14ac:dyDescent="0.45">
      <c r="G1597"/>
      <c r="H1597"/>
      <c r="I1597"/>
      <c r="J1597"/>
      <c r="M1597"/>
      <c r="O1597"/>
      <c r="Q1597"/>
      <c r="R1597"/>
      <c r="S1597"/>
      <c r="T1597"/>
      <c r="U1597"/>
      <c r="V1597"/>
      <c r="Z1597"/>
      <c r="AA1597"/>
    </row>
    <row r="1598" spans="7:27" x14ac:dyDescent="0.45">
      <c r="G1598"/>
      <c r="H1598"/>
      <c r="I1598"/>
      <c r="J1598"/>
      <c r="M1598"/>
      <c r="O1598"/>
      <c r="Q1598"/>
      <c r="R1598"/>
      <c r="S1598"/>
      <c r="T1598"/>
      <c r="U1598"/>
      <c r="V1598"/>
      <c r="Z1598"/>
      <c r="AA1598"/>
    </row>
    <row r="1599" spans="7:27" x14ac:dyDescent="0.45">
      <c r="G1599"/>
      <c r="H1599"/>
      <c r="I1599"/>
      <c r="J1599"/>
      <c r="M1599"/>
      <c r="O1599"/>
      <c r="Q1599"/>
      <c r="R1599"/>
      <c r="S1599"/>
      <c r="T1599"/>
      <c r="U1599"/>
      <c r="V1599"/>
      <c r="Z1599"/>
      <c r="AA1599"/>
    </row>
    <row r="1600" spans="7:27" x14ac:dyDescent="0.45">
      <c r="G1600"/>
      <c r="H1600"/>
      <c r="I1600"/>
      <c r="J1600"/>
      <c r="M1600"/>
      <c r="O1600"/>
      <c r="Q1600"/>
      <c r="R1600"/>
      <c r="S1600"/>
      <c r="T1600"/>
      <c r="U1600"/>
      <c r="V1600"/>
      <c r="Z1600"/>
      <c r="AA1600"/>
    </row>
    <row r="1601" spans="7:27" x14ac:dyDescent="0.45">
      <c r="G1601"/>
      <c r="H1601"/>
      <c r="I1601"/>
      <c r="J1601"/>
      <c r="M1601"/>
      <c r="O1601"/>
      <c r="Q1601"/>
      <c r="R1601"/>
      <c r="S1601"/>
      <c r="T1601"/>
      <c r="U1601"/>
      <c r="V1601"/>
      <c r="Z1601"/>
      <c r="AA1601"/>
    </row>
    <row r="1602" spans="7:27" x14ac:dyDescent="0.45">
      <c r="G1602"/>
      <c r="H1602"/>
      <c r="I1602"/>
      <c r="J1602"/>
      <c r="M1602"/>
      <c r="O1602"/>
      <c r="Q1602"/>
      <c r="R1602"/>
      <c r="S1602"/>
      <c r="T1602"/>
      <c r="U1602"/>
      <c r="V1602"/>
      <c r="Z1602"/>
      <c r="AA1602"/>
    </row>
    <row r="1603" spans="7:27" x14ac:dyDescent="0.45">
      <c r="G1603"/>
      <c r="H1603"/>
      <c r="I1603"/>
      <c r="J1603"/>
      <c r="M1603"/>
      <c r="O1603"/>
      <c r="Q1603"/>
      <c r="R1603"/>
      <c r="S1603"/>
      <c r="T1603"/>
      <c r="U1603"/>
      <c r="V1603"/>
      <c r="Z1603"/>
      <c r="AA1603"/>
    </row>
    <row r="1604" spans="7:27" x14ac:dyDescent="0.45">
      <c r="G1604"/>
      <c r="H1604"/>
      <c r="I1604"/>
      <c r="J1604"/>
      <c r="M1604"/>
      <c r="O1604"/>
      <c r="Q1604"/>
      <c r="R1604"/>
      <c r="S1604"/>
      <c r="T1604"/>
      <c r="U1604"/>
      <c r="V1604"/>
      <c r="Z1604"/>
      <c r="AA1604"/>
    </row>
    <row r="1605" spans="7:27" x14ac:dyDescent="0.45">
      <c r="G1605"/>
      <c r="H1605"/>
      <c r="I1605"/>
      <c r="J1605"/>
      <c r="M1605"/>
      <c r="O1605"/>
      <c r="Q1605"/>
      <c r="R1605"/>
      <c r="S1605"/>
      <c r="T1605"/>
      <c r="U1605"/>
      <c r="V1605"/>
      <c r="Z1605"/>
      <c r="AA1605"/>
    </row>
    <row r="1606" spans="7:27" x14ac:dyDescent="0.45">
      <c r="G1606"/>
      <c r="H1606"/>
      <c r="I1606"/>
      <c r="J1606"/>
      <c r="M1606"/>
      <c r="O1606"/>
      <c r="Q1606"/>
      <c r="R1606"/>
      <c r="S1606"/>
      <c r="T1606"/>
      <c r="U1606"/>
      <c r="V1606"/>
      <c r="Z1606"/>
      <c r="AA1606"/>
    </row>
    <row r="1607" spans="7:27" x14ac:dyDescent="0.45">
      <c r="G1607"/>
      <c r="H1607"/>
      <c r="I1607"/>
      <c r="J1607"/>
      <c r="M1607"/>
      <c r="O1607"/>
      <c r="Q1607"/>
      <c r="R1607"/>
      <c r="S1607"/>
      <c r="T1607"/>
      <c r="U1607"/>
      <c r="V1607"/>
      <c r="Z1607"/>
      <c r="AA1607"/>
    </row>
    <row r="1608" spans="7:27" x14ac:dyDescent="0.45">
      <c r="G1608"/>
      <c r="H1608"/>
      <c r="I1608"/>
      <c r="J1608"/>
      <c r="M1608"/>
      <c r="O1608"/>
      <c r="Q1608"/>
      <c r="R1608"/>
      <c r="S1608"/>
      <c r="T1608"/>
      <c r="U1608"/>
      <c r="V1608"/>
      <c r="Z1608"/>
      <c r="AA1608"/>
    </row>
    <row r="1609" spans="7:27" x14ac:dyDescent="0.45">
      <c r="G1609"/>
      <c r="H1609"/>
      <c r="I1609"/>
      <c r="J1609"/>
      <c r="M1609"/>
      <c r="O1609"/>
      <c r="Q1609"/>
      <c r="R1609"/>
      <c r="S1609"/>
      <c r="T1609"/>
      <c r="U1609"/>
      <c r="V1609"/>
      <c r="Z1609"/>
      <c r="AA1609"/>
    </row>
    <row r="1610" spans="7:27" x14ac:dyDescent="0.45">
      <c r="G1610"/>
      <c r="H1610"/>
      <c r="I1610"/>
      <c r="J1610"/>
      <c r="M1610"/>
      <c r="O1610"/>
      <c r="Q1610"/>
      <c r="R1610"/>
      <c r="S1610"/>
      <c r="T1610"/>
      <c r="U1610"/>
      <c r="V1610"/>
      <c r="Z1610"/>
      <c r="AA1610"/>
    </row>
    <row r="1611" spans="7:27" x14ac:dyDescent="0.45">
      <c r="G1611"/>
      <c r="H1611"/>
      <c r="I1611"/>
      <c r="J1611"/>
      <c r="M1611"/>
      <c r="O1611"/>
      <c r="Q1611"/>
      <c r="R1611"/>
      <c r="S1611"/>
      <c r="T1611"/>
      <c r="U1611"/>
      <c r="V1611"/>
      <c r="Z1611"/>
      <c r="AA1611"/>
    </row>
    <row r="1612" spans="7:27" x14ac:dyDescent="0.45">
      <c r="G1612"/>
      <c r="H1612"/>
      <c r="I1612"/>
      <c r="J1612"/>
      <c r="M1612"/>
      <c r="O1612"/>
      <c r="Q1612"/>
      <c r="R1612"/>
      <c r="S1612"/>
      <c r="T1612"/>
      <c r="U1612"/>
      <c r="V1612"/>
      <c r="Z1612"/>
      <c r="AA1612"/>
    </row>
    <row r="1613" spans="7:27" x14ac:dyDescent="0.45">
      <c r="G1613"/>
      <c r="H1613"/>
      <c r="I1613"/>
      <c r="J1613"/>
      <c r="M1613"/>
      <c r="O1613"/>
      <c r="Q1613"/>
      <c r="R1613"/>
      <c r="S1613"/>
      <c r="T1613"/>
      <c r="U1613"/>
      <c r="V1613"/>
      <c r="Z1613"/>
      <c r="AA1613"/>
    </row>
    <row r="1614" spans="7:27" x14ac:dyDescent="0.45">
      <c r="G1614"/>
      <c r="H1614"/>
      <c r="I1614"/>
      <c r="J1614"/>
      <c r="M1614"/>
      <c r="O1614"/>
      <c r="Q1614"/>
      <c r="R1614"/>
      <c r="S1614"/>
      <c r="T1614"/>
      <c r="U1614"/>
      <c r="V1614"/>
      <c r="Z1614"/>
      <c r="AA1614"/>
    </row>
    <row r="1615" spans="7:27" x14ac:dyDescent="0.45">
      <c r="G1615"/>
      <c r="H1615"/>
      <c r="I1615"/>
      <c r="J1615"/>
      <c r="M1615"/>
      <c r="O1615"/>
      <c r="Q1615"/>
      <c r="R1615"/>
      <c r="S1615"/>
      <c r="T1615"/>
      <c r="U1615"/>
      <c r="V1615"/>
      <c r="Z1615"/>
      <c r="AA1615"/>
    </row>
    <row r="1616" spans="7:27" x14ac:dyDescent="0.45">
      <c r="G1616"/>
      <c r="H1616"/>
      <c r="I1616"/>
      <c r="J1616"/>
      <c r="M1616"/>
      <c r="O1616"/>
      <c r="Q1616"/>
      <c r="R1616"/>
      <c r="S1616"/>
      <c r="T1616"/>
      <c r="U1616"/>
      <c r="V1616"/>
      <c r="Z1616"/>
      <c r="AA1616"/>
    </row>
    <row r="1617" spans="7:27" x14ac:dyDescent="0.45">
      <c r="G1617"/>
      <c r="H1617"/>
      <c r="I1617"/>
      <c r="J1617"/>
      <c r="M1617"/>
      <c r="O1617"/>
      <c r="Q1617"/>
      <c r="R1617"/>
      <c r="S1617"/>
      <c r="T1617"/>
      <c r="U1617"/>
      <c r="V1617"/>
      <c r="Z1617"/>
      <c r="AA1617"/>
    </row>
    <row r="1618" spans="7:27" x14ac:dyDescent="0.45">
      <c r="G1618"/>
      <c r="H1618"/>
      <c r="I1618"/>
      <c r="J1618"/>
      <c r="M1618"/>
      <c r="O1618"/>
      <c r="Q1618"/>
      <c r="R1618"/>
      <c r="S1618"/>
      <c r="T1618"/>
      <c r="U1618"/>
      <c r="V1618"/>
      <c r="Z1618"/>
      <c r="AA1618"/>
    </row>
    <row r="1619" spans="7:27" x14ac:dyDescent="0.45">
      <c r="G1619"/>
      <c r="H1619"/>
      <c r="I1619"/>
      <c r="J1619"/>
      <c r="M1619"/>
      <c r="O1619"/>
      <c r="Q1619"/>
      <c r="R1619"/>
      <c r="S1619"/>
      <c r="T1619"/>
      <c r="U1619"/>
      <c r="V1619"/>
      <c r="Z1619"/>
      <c r="AA1619"/>
    </row>
    <row r="1620" spans="7:27" x14ac:dyDescent="0.45">
      <c r="G1620"/>
      <c r="H1620"/>
      <c r="I1620"/>
      <c r="J1620"/>
      <c r="M1620"/>
      <c r="O1620"/>
      <c r="Q1620"/>
      <c r="R1620"/>
      <c r="S1620"/>
      <c r="T1620"/>
      <c r="U1620"/>
      <c r="V1620"/>
      <c r="Z1620"/>
      <c r="AA1620"/>
    </row>
    <row r="1621" spans="7:27" x14ac:dyDescent="0.45">
      <c r="G1621"/>
      <c r="H1621"/>
      <c r="I1621"/>
      <c r="J1621"/>
      <c r="M1621"/>
      <c r="O1621"/>
      <c r="Q1621"/>
      <c r="R1621"/>
      <c r="S1621"/>
      <c r="T1621"/>
      <c r="U1621"/>
      <c r="V1621"/>
      <c r="Z1621"/>
      <c r="AA1621"/>
    </row>
    <row r="1622" spans="7:27" x14ac:dyDescent="0.45">
      <c r="G1622"/>
      <c r="H1622"/>
      <c r="I1622"/>
      <c r="J1622"/>
      <c r="M1622"/>
      <c r="O1622"/>
      <c r="Q1622"/>
      <c r="R1622"/>
      <c r="S1622"/>
      <c r="T1622"/>
      <c r="U1622"/>
      <c r="V1622"/>
      <c r="Z1622"/>
      <c r="AA1622"/>
    </row>
    <row r="1623" spans="7:27" x14ac:dyDescent="0.45">
      <c r="G1623"/>
      <c r="H1623"/>
      <c r="I1623"/>
      <c r="J1623"/>
      <c r="M1623"/>
      <c r="O1623"/>
      <c r="Q1623"/>
      <c r="R1623"/>
      <c r="S1623"/>
      <c r="T1623"/>
      <c r="U1623"/>
      <c r="V1623"/>
      <c r="Z1623"/>
      <c r="AA1623"/>
    </row>
    <row r="1624" spans="7:27" x14ac:dyDescent="0.45">
      <c r="G1624"/>
      <c r="H1624"/>
      <c r="I1624"/>
      <c r="J1624"/>
      <c r="M1624"/>
      <c r="O1624"/>
      <c r="Q1624"/>
      <c r="R1624"/>
      <c r="S1624"/>
      <c r="T1624"/>
      <c r="U1624"/>
      <c r="V1624"/>
      <c r="Z1624"/>
      <c r="AA1624"/>
    </row>
    <row r="1625" spans="7:27" x14ac:dyDescent="0.45">
      <c r="G1625"/>
      <c r="H1625"/>
      <c r="I1625"/>
      <c r="J1625"/>
      <c r="M1625"/>
      <c r="O1625"/>
      <c r="Q1625"/>
      <c r="R1625"/>
      <c r="S1625"/>
      <c r="T1625"/>
      <c r="U1625"/>
      <c r="V1625"/>
      <c r="Z1625"/>
      <c r="AA1625"/>
    </row>
    <row r="1626" spans="7:27" x14ac:dyDescent="0.45">
      <c r="G1626"/>
      <c r="H1626"/>
      <c r="I1626"/>
      <c r="J1626"/>
      <c r="M1626"/>
      <c r="O1626"/>
      <c r="Q1626"/>
      <c r="R1626"/>
      <c r="S1626"/>
      <c r="T1626"/>
      <c r="U1626"/>
      <c r="V1626"/>
      <c r="Z1626"/>
      <c r="AA1626"/>
    </row>
    <row r="1627" spans="7:27" x14ac:dyDescent="0.45">
      <c r="G1627"/>
      <c r="H1627"/>
      <c r="I1627"/>
      <c r="J1627"/>
      <c r="M1627"/>
      <c r="O1627"/>
      <c r="Q1627"/>
      <c r="R1627"/>
      <c r="S1627"/>
      <c r="T1627"/>
      <c r="U1627"/>
      <c r="V1627"/>
      <c r="Z1627"/>
      <c r="AA1627"/>
    </row>
    <row r="1628" spans="7:27" x14ac:dyDescent="0.45">
      <c r="G1628"/>
      <c r="H1628"/>
      <c r="I1628"/>
      <c r="J1628"/>
      <c r="M1628"/>
      <c r="O1628"/>
      <c r="Q1628"/>
      <c r="R1628"/>
      <c r="S1628"/>
      <c r="T1628"/>
      <c r="U1628"/>
      <c r="V1628"/>
      <c r="Z1628"/>
      <c r="AA1628"/>
    </row>
    <row r="1629" spans="7:27" x14ac:dyDescent="0.45">
      <c r="G1629"/>
      <c r="H1629"/>
      <c r="I1629"/>
      <c r="J1629"/>
      <c r="M1629"/>
      <c r="O1629"/>
      <c r="Q1629"/>
      <c r="R1629"/>
      <c r="S1629"/>
      <c r="T1629"/>
      <c r="U1629"/>
      <c r="V1629"/>
      <c r="Z1629"/>
      <c r="AA1629"/>
    </row>
    <row r="1630" spans="7:27" x14ac:dyDescent="0.45">
      <c r="G1630"/>
      <c r="H1630"/>
      <c r="I1630"/>
      <c r="J1630"/>
      <c r="M1630"/>
      <c r="O1630"/>
      <c r="Q1630"/>
      <c r="R1630"/>
      <c r="S1630"/>
      <c r="T1630"/>
      <c r="U1630"/>
      <c r="V1630"/>
      <c r="Z1630"/>
      <c r="AA1630"/>
    </row>
    <row r="1631" spans="7:27" x14ac:dyDescent="0.45">
      <c r="G1631"/>
      <c r="H1631"/>
      <c r="I1631"/>
      <c r="J1631"/>
      <c r="M1631"/>
      <c r="O1631"/>
      <c r="Q1631"/>
      <c r="R1631"/>
      <c r="S1631"/>
      <c r="T1631"/>
      <c r="U1631"/>
      <c r="V1631"/>
      <c r="Z1631"/>
      <c r="AA1631"/>
    </row>
    <row r="1632" spans="7:27" x14ac:dyDescent="0.45">
      <c r="G1632"/>
      <c r="H1632"/>
      <c r="I1632"/>
      <c r="J1632"/>
      <c r="M1632"/>
      <c r="O1632"/>
      <c r="Q1632"/>
      <c r="R1632"/>
      <c r="S1632"/>
      <c r="T1632"/>
      <c r="U1632"/>
      <c r="V1632"/>
      <c r="Z1632"/>
      <c r="AA1632"/>
    </row>
    <row r="1633" spans="7:27" x14ac:dyDescent="0.45">
      <c r="G1633"/>
      <c r="H1633"/>
      <c r="I1633"/>
      <c r="J1633"/>
      <c r="M1633"/>
      <c r="O1633"/>
      <c r="Q1633"/>
      <c r="R1633"/>
      <c r="S1633"/>
      <c r="T1633"/>
      <c r="U1633"/>
      <c r="V1633"/>
      <c r="Z1633"/>
      <c r="AA1633"/>
    </row>
    <row r="1634" spans="7:27" x14ac:dyDescent="0.45">
      <c r="G1634"/>
      <c r="H1634"/>
      <c r="I1634"/>
      <c r="J1634"/>
      <c r="M1634"/>
      <c r="O1634"/>
      <c r="Q1634"/>
      <c r="R1634"/>
      <c r="S1634"/>
      <c r="T1634"/>
      <c r="U1634"/>
      <c r="V1634"/>
      <c r="Z1634"/>
      <c r="AA1634"/>
    </row>
    <row r="1635" spans="7:27" x14ac:dyDescent="0.45">
      <c r="G1635"/>
      <c r="H1635"/>
      <c r="I1635"/>
      <c r="J1635"/>
      <c r="M1635"/>
      <c r="O1635"/>
      <c r="Q1635"/>
      <c r="R1635"/>
      <c r="S1635"/>
      <c r="T1635"/>
      <c r="U1635"/>
      <c r="V1635"/>
      <c r="Z1635"/>
      <c r="AA1635"/>
    </row>
    <row r="1636" spans="7:27" x14ac:dyDescent="0.45">
      <c r="G1636"/>
      <c r="H1636"/>
      <c r="I1636"/>
      <c r="J1636"/>
      <c r="M1636"/>
      <c r="O1636"/>
      <c r="Q1636"/>
      <c r="R1636"/>
      <c r="S1636"/>
      <c r="T1636"/>
      <c r="U1636"/>
      <c r="V1636"/>
      <c r="Z1636"/>
      <c r="AA1636"/>
    </row>
    <row r="1637" spans="7:27" x14ac:dyDescent="0.45">
      <c r="G1637"/>
      <c r="H1637"/>
      <c r="I1637"/>
      <c r="J1637"/>
      <c r="M1637"/>
      <c r="O1637"/>
      <c r="Q1637"/>
      <c r="R1637"/>
      <c r="S1637"/>
      <c r="T1637"/>
      <c r="U1637"/>
      <c r="V1637"/>
      <c r="Z1637"/>
      <c r="AA1637"/>
    </row>
    <row r="1638" spans="7:27" x14ac:dyDescent="0.45">
      <c r="G1638"/>
      <c r="H1638"/>
      <c r="I1638"/>
      <c r="J1638"/>
      <c r="M1638"/>
      <c r="O1638"/>
      <c r="Q1638"/>
      <c r="R1638"/>
      <c r="S1638"/>
      <c r="T1638"/>
      <c r="U1638"/>
      <c r="V1638"/>
      <c r="Z1638"/>
      <c r="AA1638"/>
    </row>
    <row r="1639" spans="7:27" x14ac:dyDescent="0.45">
      <c r="G1639"/>
      <c r="H1639"/>
      <c r="I1639"/>
      <c r="J1639"/>
      <c r="M1639"/>
      <c r="O1639"/>
      <c r="Q1639"/>
      <c r="R1639"/>
      <c r="S1639"/>
      <c r="T1639"/>
      <c r="U1639"/>
      <c r="V1639"/>
      <c r="Z1639"/>
      <c r="AA1639"/>
    </row>
    <row r="1640" spans="7:27" x14ac:dyDescent="0.45">
      <c r="G1640"/>
      <c r="H1640"/>
      <c r="I1640"/>
      <c r="J1640"/>
      <c r="M1640"/>
      <c r="O1640"/>
      <c r="Q1640"/>
      <c r="R1640"/>
      <c r="S1640"/>
      <c r="T1640"/>
      <c r="U1640"/>
      <c r="V1640"/>
      <c r="Z1640"/>
      <c r="AA1640"/>
    </row>
    <row r="1641" spans="7:27" x14ac:dyDescent="0.45">
      <c r="G1641"/>
      <c r="H1641"/>
      <c r="I1641"/>
      <c r="J1641"/>
      <c r="M1641"/>
      <c r="O1641"/>
      <c r="Q1641"/>
      <c r="R1641"/>
      <c r="S1641"/>
      <c r="T1641"/>
      <c r="U1641"/>
      <c r="V1641"/>
      <c r="Z1641"/>
      <c r="AA1641"/>
    </row>
    <row r="1642" spans="7:27" x14ac:dyDescent="0.45">
      <c r="G1642"/>
      <c r="H1642"/>
      <c r="I1642"/>
      <c r="J1642"/>
      <c r="M1642"/>
      <c r="O1642"/>
      <c r="Q1642"/>
      <c r="R1642"/>
      <c r="S1642"/>
      <c r="T1642"/>
      <c r="U1642"/>
      <c r="V1642"/>
      <c r="Z1642"/>
      <c r="AA1642"/>
    </row>
    <row r="1643" spans="7:27" x14ac:dyDescent="0.45">
      <c r="G1643"/>
      <c r="H1643"/>
      <c r="I1643"/>
      <c r="J1643"/>
      <c r="M1643"/>
      <c r="O1643"/>
      <c r="Q1643"/>
      <c r="R1643"/>
      <c r="S1643"/>
      <c r="T1643"/>
      <c r="U1643"/>
      <c r="V1643"/>
      <c r="Z1643"/>
      <c r="AA1643"/>
    </row>
    <row r="1644" spans="7:27" x14ac:dyDescent="0.45">
      <c r="G1644"/>
      <c r="H1644"/>
      <c r="I1644"/>
      <c r="J1644"/>
      <c r="M1644"/>
      <c r="O1644"/>
      <c r="Q1644"/>
      <c r="R1644"/>
      <c r="S1644"/>
      <c r="T1644"/>
      <c r="U1644"/>
      <c r="V1644"/>
      <c r="Z1644"/>
      <c r="AA1644"/>
    </row>
    <row r="1645" spans="7:27" x14ac:dyDescent="0.45">
      <c r="G1645"/>
      <c r="H1645"/>
      <c r="I1645"/>
      <c r="J1645"/>
      <c r="M1645"/>
      <c r="O1645"/>
      <c r="Q1645"/>
      <c r="R1645"/>
      <c r="S1645"/>
      <c r="T1645"/>
      <c r="U1645"/>
      <c r="V1645"/>
      <c r="Z1645"/>
      <c r="AA1645"/>
    </row>
    <row r="1646" spans="7:27" x14ac:dyDescent="0.45">
      <c r="G1646"/>
      <c r="H1646"/>
      <c r="I1646"/>
      <c r="J1646"/>
      <c r="M1646"/>
      <c r="O1646"/>
      <c r="Q1646"/>
      <c r="R1646"/>
      <c r="S1646"/>
      <c r="T1646"/>
      <c r="U1646"/>
      <c r="V1646"/>
      <c r="Z1646"/>
      <c r="AA1646"/>
    </row>
    <row r="1647" spans="7:27" x14ac:dyDescent="0.45">
      <c r="G1647"/>
      <c r="H1647"/>
      <c r="I1647"/>
      <c r="J1647"/>
      <c r="M1647"/>
      <c r="O1647"/>
      <c r="Q1647"/>
      <c r="R1647"/>
      <c r="S1647"/>
      <c r="T1647"/>
      <c r="U1647"/>
      <c r="V1647"/>
      <c r="Z1647"/>
      <c r="AA1647"/>
    </row>
    <row r="1648" spans="7:27" x14ac:dyDescent="0.45">
      <c r="G1648"/>
      <c r="H1648"/>
      <c r="I1648"/>
      <c r="J1648"/>
      <c r="M1648"/>
      <c r="O1648"/>
      <c r="Q1648"/>
      <c r="R1648"/>
      <c r="S1648"/>
      <c r="T1648"/>
      <c r="U1648"/>
      <c r="V1648"/>
      <c r="Z1648"/>
      <c r="AA1648"/>
    </row>
    <row r="1649" spans="7:27" x14ac:dyDescent="0.45">
      <c r="G1649"/>
      <c r="H1649"/>
      <c r="I1649"/>
      <c r="J1649"/>
      <c r="M1649"/>
      <c r="O1649"/>
      <c r="Q1649"/>
      <c r="R1649"/>
      <c r="S1649"/>
      <c r="T1649"/>
      <c r="U1649"/>
      <c r="V1649"/>
      <c r="Z1649"/>
      <c r="AA1649"/>
    </row>
    <row r="1650" spans="7:27" x14ac:dyDescent="0.45">
      <c r="G1650"/>
      <c r="H1650"/>
      <c r="I1650"/>
      <c r="J1650"/>
      <c r="M1650"/>
      <c r="O1650"/>
      <c r="Q1650"/>
      <c r="R1650"/>
      <c r="S1650"/>
      <c r="T1650"/>
      <c r="U1650"/>
      <c r="V1650"/>
      <c r="Z1650"/>
      <c r="AA1650"/>
    </row>
    <row r="1651" spans="7:27" x14ac:dyDescent="0.45">
      <c r="G1651"/>
      <c r="H1651"/>
      <c r="I1651"/>
      <c r="J1651"/>
      <c r="M1651"/>
      <c r="O1651"/>
      <c r="Q1651"/>
      <c r="R1651"/>
      <c r="S1651"/>
      <c r="T1651"/>
      <c r="U1651"/>
      <c r="V1651"/>
      <c r="Z1651"/>
      <c r="AA1651"/>
    </row>
    <row r="1652" spans="7:27" x14ac:dyDescent="0.45">
      <c r="G1652"/>
      <c r="H1652"/>
      <c r="I1652"/>
      <c r="J1652"/>
      <c r="M1652"/>
      <c r="O1652"/>
      <c r="Q1652"/>
      <c r="R1652"/>
      <c r="S1652"/>
      <c r="T1652"/>
      <c r="U1652"/>
      <c r="V1652"/>
      <c r="Z1652"/>
      <c r="AA1652"/>
    </row>
    <row r="1653" spans="7:27" x14ac:dyDescent="0.45">
      <c r="G1653"/>
      <c r="H1653"/>
      <c r="I1653"/>
      <c r="J1653"/>
      <c r="M1653"/>
      <c r="O1653"/>
      <c r="Q1653"/>
      <c r="R1653"/>
      <c r="S1653"/>
      <c r="T1653"/>
      <c r="U1653"/>
      <c r="V1653"/>
      <c r="Z1653"/>
      <c r="AA1653"/>
    </row>
    <row r="1654" spans="7:27" x14ac:dyDescent="0.45">
      <c r="G1654"/>
      <c r="H1654"/>
      <c r="I1654"/>
      <c r="J1654"/>
      <c r="M1654"/>
      <c r="O1654"/>
      <c r="Q1654"/>
      <c r="R1654"/>
      <c r="S1654"/>
      <c r="T1654"/>
      <c r="U1654"/>
      <c r="V1654"/>
      <c r="Z1654"/>
      <c r="AA1654"/>
    </row>
    <row r="1655" spans="7:27" x14ac:dyDescent="0.45">
      <c r="G1655"/>
      <c r="H1655"/>
      <c r="I1655"/>
      <c r="J1655"/>
      <c r="M1655"/>
      <c r="O1655"/>
      <c r="Q1655"/>
      <c r="R1655"/>
      <c r="S1655"/>
      <c r="T1655"/>
      <c r="U1655"/>
      <c r="V1655"/>
      <c r="Z1655"/>
      <c r="AA1655"/>
    </row>
    <row r="1656" spans="7:27" x14ac:dyDescent="0.45">
      <c r="G1656"/>
      <c r="H1656"/>
      <c r="I1656"/>
      <c r="J1656"/>
      <c r="M1656"/>
      <c r="O1656"/>
      <c r="Q1656"/>
      <c r="R1656"/>
      <c r="S1656"/>
      <c r="T1656"/>
      <c r="U1656"/>
      <c r="V1656"/>
      <c r="Z1656"/>
      <c r="AA1656"/>
    </row>
    <row r="1657" spans="7:27" x14ac:dyDescent="0.45">
      <c r="G1657"/>
      <c r="H1657"/>
      <c r="I1657"/>
      <c r="J1657"/>
      <c r="M1657"/>
      <c r="O1657"/>
      <c r="Q1657"/>
      <c r="R1657"/>
      <c r="S1657"/>
      <c r="T1657"/>
      <c r="U1657"/>
      <c r="V1657"/>
      <c r="Z1657"/>
      <c r="AA1657"/>
    </row>
    <row r="1658" spans="7:27" x14ac:dyDescent="0.45">
      <c r="G1658"/>
      <c r="H1658"/>
      <c r="I1658"/>
      <c r="J1658"/>
      <c r="M1658"/>
      <c r="O1658"/>
      <c r="Q1658"/>
      <c r="R1658"/>
      <c r="S1658"/>
      <c r="T1658"/>
      <c r="U1658"/>
      <c r="V1658"/>
      <c r="Z1658"/>
      <c r="AA1658"/>
    </row>
    <row r="1659" spans="7:27" x14ac:dyDescent="0.45">
      <c r="G1659"/>
      <c r="H1659"/>
      <c r="I1659"/>
      <c r="J1659"/>
      <c r="M1659"/>
      <c r="O1659"/>
      <c r="Q1659"/>
      <c r="R1659"/>
      <c r="S1659"/>
      <c r="T1659"/>
      <c r="U1659"/>
      <c r="V1659"/>
      <c r="Z1659"/>
      <c r="AA1659"/>
    </row>
    <row r="1660" spans="7:27" x14ac:dyDescent="0.45">
      <c r="G1660"/>
      <c r="H1660"/>
      <c r="I1660"/>
      <c r="J1660"/>
      <c r="M1660"/>
      <c r="O1660"/>
      <c r="Q1660"/>
      <c r="R1660"/>
      <c r="S1660"/>
      <c r="T1660"/>
      <c r="U1660"/>
      <c r="V1660"/>
      <c r="Z1660"/>
      <c r="AA1660"/>
    </row>
    <row r="1661" spans="7:27" x14ac:dyDescent="0.45">
      <c r="G1661"/>
      <c r="H1661"/>
      <c r="I1661"/>
      <c r="J1661"/>
      <c r="M1661"/>
      <c r="O1661"/>
      <c r="Q1661"/>
      <c r="R1661"/>
      <c r="S1661"/>
      <c r="T1661"/>
      <c r="U1661"/>
      <c r="V1661"/>
      <c r="Z1661"/>
      <c r="AA1661"/>
    </row>
    <row r="1662" spans="7:27" x14ac:dyDescent="0.45">
      <c r="G1662"/>
      <c r="H1662"/>
      <c r="I1662"/>
      <c r="J1662"/>
      <c r="M1662"/>
      <c r="O1662"/>
      <c r="Q1662"/>
      <c r="R1662"/>
      <c r="S1662"/>
      <c r="T1662"/>
      <c r="U1662"/>
      <c r="V1662"/>
      <c r="Z1662"/>
      <c r="AA1662"/>
    </row>
    <row r="1663" spans="7:27" x14ac:dyDescent="0.45">
      <c r="G1663"/>
      <c r="H1663"/>
      <c r="I1663"/>
      <c r="J1663"/>
      <c r="M1663"/>
      <c r="O1663"/>
      <c r="Q1663"/>
      <c r="R1663"/>
      <c r="S1663"/>
      <c r="T1663"/>
      <c r="U1663"/>
      <c r="V1663"/>
      <c r="Z1663"/>
      <c r="AA1663"/>
    </row>
    <row r="1664" spans="7:27" x14ac:dyDescent="0.45">
      <c r="G1664"/>
      <c r="H1664"/>
      <c r="I1664"/>
      <c r="J1664"/>
      <c r="M1664"/>
      <c r="O1664"/>
      <c r="Q1664"/>
      <c r="R1664"/>
      <c r="S1664"/>
      <c r="T1664"/>
      <c r="U1664"/>
      <c r="V1664"/>
      <c r="Z1664"/>
      <c r="AA1664"/>
    </row>
    <row r="1665" spans="7:27" x14ac:dyDescent="0.45">
      <c r="G1665"/>
      <c r="H1665"/>
      <c r="I1665"/>
      <c r="J1665"/>
      <c r="M1665"/>
      <c r="O1665"/>
      <c r="Q1665"/>
      <c r="R1665"/>
      <c r="S1665"/>
      <c r="T1665"/>
      <c r="U1665"/>
      <c r="V1665"/>
      <c r="Z1665"/>
      <c r="AA1665"/>
    </row>
    <row r="1666" spans="7:27" x14ac:dyDescent="0.45">
      <c r="G1666"/>
      <c r="H1666"/>
      <c r="I1666"/>
      <c r="J1666"/>
      <c r="M1666"/>
      <c r="O1666"/>
      <c r="Q1666"/>
      <c r="R1666"/>
      <c r="S1666"/>
      <c r="T1666"/>
      <c r="U1666"/>
      <c r="V1666"/>
      <c r="Z1666"/>
      <c r="AA1666"/>
    </row>
    <row r="1667" spans="7:27" x14ac:dyDescent="0.45">
      <c r="G1667"/>
      <c r="H1667"/>
      <c r="I1667"/>
      <c r="J1667"/>
      <c r="M1667"/>
      <c r="O1667"/>
      <c r="Q1667"/>
      <c r="R1667"/>
      <c r="S1667"/>
      <c r="T1667"/>
      <c r="U1667"/>
      <c r="V1667"/>
      <c r="Z1667"/>
      <c r="AA1667"/>
    </row>
    <row r="1668" spans="7:27" x14ac:dyDescent="0.45">
      <c r="G1668"/>
      <c r="H1668"/>
      <c r="I1668"/>
      <c r="J1668"/>
      <c r="M1668"/>
      <c r="O1668"/>
      <c r="Q1668"/>
      <c r="R1668"/>
      <c r="S1668"/>
      <c r="T1668"/>
      <c r="U1668"/>
      <c r="V1668"/>
      <c r="Z1668"/>
      <c r="AA1668"/>
    </row>
    <row r="1669" spans="7:27" x14ac:dyDescent="0.45">
      <c r="G1669"/>
      <c r="H1669"/>
      <c r="I1669"/>
      <c r="J1669"/>
      <c r="M1669"/>
      <c r="O1669"/>
      <c r="Q1669"/>
      <c r="R1669"/>
      <c r="S1669"/>
      <c r="T1669"/>
      <c r="U1669"/>
      <c r="V1669"/>
      <c r="Z1669"/>
      <c r="AA1669"/>
    </row>
    <row r="1670" spans="7:27" x14ac:dyDescent="0.45">
      <c r="G1670"/>
      <c r="H1670"/>
      <c r="I1670"/>
      <c r="J1670"/>
      <c r="M1670"/>
      <c r="O1670"/>
      <c r="Q1670"/>
      <c r="R1670"/>
      <c r="S1670"/>
      <c r="T1670"/>
      <c r="U1670"/>
      <c r="V1670"/>
      <c r="Z1670"/>
      <c r="AA1670"/>
    </row>
    <row r="1671" spans="7:27" x14ac:dyDescent="0.45">
      <c r="G1671"/>
      <c r="H1671"/>
      <c r="I1671"/>
      <c r="J1671"/>
      <c r="M1671"/>
      <c r="O1671"/>
      <c r="Q1671"/>
      <c r="R1671"/>
      <c r="S1671"/>
      <c r="T1671"/>
      <c r="U1671"/>
      <c r="V1671"/>
      <c r="Z1671"/>
      <c r="AA1671"/>
    </row>
    <row r="1672" spans="7:27" x14ac:dyDescent="0.45">
      <c r="G1672"/>
      <c r="H1672"/>
      <c r="I1672"/>
      <c r="J1672"/>
      <c r="M1672"/>
      <c r="O1672"/>
      <c r="Q1672"/>
      <c r="R1672"/>
      <c r="S1672"/>
      <c r="T1672"/>
      <c r="U1672"/>
      <c r="V1672"/>
      <c r="Z1672"/>
      <c r="AA1672"/>
    </row>
    <row r="1673" spans="7:27" x14ac:dyDescent="0.45">
      <c r="G1673"/>
      <c r="H1673"/>
      <c r="I1673"/>
      <c r="J1673"/>
      <c r="M1673"/>
      <c r="O1673"/>
      <c r="Q1673"/>
      <c r="R1673"/>
      <c r="S1673"/>
      <c r="T1673"/>
      <c r="U1673"/>
      <c r="V1673"/>
      <c r="Z1673"/>
      <c r="AA1673"/>
    </row>
    <row r="1674" spans="7:27" x14ac:dyDescent="0.45">
      <c r="G1674"/>
      <c r="H1674"/>
      <c r="I1674"/>
      <c r="J1674"/>
      <c r="M1674"/>
      <c r="O1674"/>
      <c r="Q1674"/>
      <c r="R1674"/>
      <c r="S1674"/>
      <c r="T1674"/>
      <c r="U1674"/>
      <c r="V1674"/>
      <c r="Z1674"/>
      <c r="AA1674"/>
    </row>
    <row r="1675" spans="7:27" x14ac:dyDescent="0.45">
      <c r="G1675"/>
      <c r="H1675"/>
      <c r="I1675"/>
      <c r="J1675"/>
      <c r="M1675"/>
      <c r="O1675"/>
      <c r="Q1675"/>
      <c r="R1675"/>
      <c r="S1675"/>
      <c r="T1675"/>
      <c r="U1675"/>
      <c r="V1675"/>
      <c r="Z1675"/>
      <c r="AA1675"/>
    </row>
    <row r="1676" spans="7:27" x14ac:dyDescent="0.45">
      <c r="G1676"/>
      <c r="H1676"/>
      <c r="I1676"/>
      <c r="J1676"/>
      <c r="M1676"/>
      <c r="O1676"/>
      <c r="Q1676"/>
      <c r="R1676"/>
      <c r="S1676"/>
      <c r="T1676"/>
      <c r="U1676"/>
      <c r="V1676"/>
      <c r="Z1676"/>
      <c r="AA1676"/>
    </row>
    <row r="1677" spans="7:27" x14ac:dyDescent="0.45">
      <c r="G1677"/>
      <c r="H1677"/>
      <c r="I1677"/>
      <c r="J1677"/>
      <c r="M1677"/>
      <c r="O1677"/>
      <c r="Q1677"/>
      <c r="R1677"/>
      <c r="S1677"/>
      <c r="T1677"/>
      <c r="U1677"/>
      <c r="V1677"/>
      <c r="Z1677"/>
      <c r="AA1677"/>
    </row>
    <row r="1678" spans="7:27" x14ac:dyDescent="0.45">
      <c r="G1678"/>
      <c r="H1678"/>
      <c r="I1678"/>
      <c r="J1678"/>
      <c r="M1678"/>
      <c r="O1678"/>
      <c r="Q1678"/>
      <c r="R1678"/>
      <c r="S1678"/>
      <c r="T1678"/>
      <c r="U1678"/>
      <c r="V1678"/>
      <c r="Z1678"/>
      <c r="AA1678"/>
    </row>
    <row r="1679" spans="7:27" x14ac:dyDescent="0.45">
      <c r="G1679"/>
      <c r="H1679"/>
      <c r="I1679"/>
      <c r="J1679"/>
      <c r="M1679"/>
      <c r="O1679"/>
      <c r="Q1679"/>
      <c r="R1679"/>
      <c r="S1679"/>
      <c r="T1679"/>
      <c r="U1679"/>
      <c r="V1679"/>
      <c r="Z1679"/>
      <c r="AA1679"/>
    </row>
    <row r="1680" spans="7:27" x14ac:dyDescent="0.45">
      <c r="G1680"/>
      <c r="H1680"/>
      <c r="I1680"/>
      <c r="J1680"/>
      <c r="M1680"/>
      <c r="O1680"/>
      <c r="Q1680"/>
      <c r="R1680"/>
      <c r="S1680"/>
      <c r="T1680"/>
      <c r="U1680"/>
      <c r="V1680"/>
      <c r="Z1680"/>
      <c r="AA1680"/>
    </row>
    <row r="1681" spans="7:27" x14ac:dyDescent="0.45">
      <c r="G1681"/>
      <c r="H1681"/>
      <c r="I1681"/>
      <c r="J1681"/>
      <c r="M1681"/>
      <c r="O1681"/>
      <c r="Q1681"/>
      <c r="R1681"/>
      <c r="S1681"/>
      <c r="T1681"/>
      <c r="U1681"/>
      <c r="V1681"/>
      <c r="Z1681"/>
      <c r="AA1681"/>
    </row>
    <row r="1682" spans="7:27" x14ac:dyDescent="0.45">
      <c r="G1682"/>
      <c r="H1682"/>
      <c r="I1682"/>
      <c r="J1682"/>
      <c r="M1682"/>
      <c r="O1682"/>
      <c r="Q1682"/>
      <c r="R1682"/>
      <c r="S1682"/>
      <c r="T1682"/>
      <c r="U1682"/>
      <c r="V1682"/>
      <c r="Z1682"/>
      <c r="AA1682"/>
    </row>
    <row r="1683" spans="7:27" x14ac:dyDescent="0.45">
      <c r="G1683"/>
      <c r="H1683"/>
      <c r="I1683"/>
      <c r="J1683"/>
      <c r="M1683"/>
      <c r="O1683"/>
      <c r="Q1683"/>
      <c r="R1683"/>
      <c r="S1683"/>
      <c r="T1683"/>
      <c r="U1683"/>
      <c r="V1683"/>
      <c r="Z1683"/>
      <c r="AA1683"/>
    </row>
    <row r="1684" spans="7:27" x14ac:dyDescent="0.45">
      <c r="G1684"/>
      <c r="H1684"/>
      <c r="I1684"/>
      <c r="J1684"/>
      <c r="M1684"/>
      <c r="O1684"/>
      <c r="Q1684"/>
      <c r="R1684"/>
      <c r="S1684"/>
      <c r="T1684"/>
      <c r="U1684"/>
      <c r="V1684"/>
      <c r="Z1684"/>
      <c r="AA1684"/>
    </row>
    <row r="1685" spans="7:27" x14ac:dyDescent="0.45">
      <c r="G1685"/>
      <c r="H1685"/>
      <c r="I1685"/>
      <c r="J1685"/>
      <c r="M1685"/>
      <c r="O1685"/>
      <c r="Q1685"/>
      <c r="R1685"/>
      <c r="S1685"/>
      <c r="T1685"/>
      <c r="U1685"/>
      <c r="V1685"/>
      <c r="Z1685"/>
      <c r="AA1685"/>
    </row>
    <row r="1686" spans="7:27" x14ac:dyDescent="0.45">
      <c r="G1686"/>
      <c r="H1686"/>
      <c r="I1686"/>
      <c r="J1686"/>
      <c r="M1686"/>
      <c r="O1686"/>
      <c r="Q1686"/>
      <c r="R1686"/>
      <c r="S1686"/>
      <c r="T1686"/>
      <c r="U1686"/>
      <c r="V1686"/>
      <c r="Z1686"/>
      <c r="AA1686"/>
    </row>
    <row r="1687" spans="7:27" x14ac:dyDescent="0.45">
      <c r="G1687"/>
      <c r="H1687"/>
      <c r="I1687"/>
      <c r="J1687"/>
      <c r="M1687"/>
      <c r="O1687"/>
      <c r="Q1687"/>
      <c r="R1687"/>
      <c r="S1687"/>
      <c r="T1687"/>
      <c r="U1687"/>
      <c r="V1687"/>
      <c r="Z1687"/>
      <c r="AA1687"/>
    </row>
    <row r="1688" spans="7:27" x14ac:dyDescent="0.45">
      <c r="G1688"/>
      <c r="H1688"/>
      <c r="I1688"/>
      <c r="J1688"/>
      <c r="M1688"/>
      <c r="O1688"/>
      <c r="Q1688"/>
      <c r="R1688"/>
      <c r="S1688"/>
      <c r="T1688"/>
      <c r="U1688"/>
      <c r="V1688"/>
      <c r="Z1688"/>
      <c r="AA1688"/>
    </row>
    <row r="1689" spans="7:27" x14ac:dyDescent="0.45">
      <c r="G1689"/>
      <c r="H1689"/>
      <c r="I1689"/>
      <c r="J1689"/>
      <c r="M1689"/>
      <c r="O1689"/>
      <c r="Q1689"/>
      <c r="R1689"/>
      <c r="S1689"/>
      <c r="T1689"/>
      <c r="U1689"/>
      <c r="V1689"/>
      <c r="Z1689"/>
      <c r="AA1689"/>
    </row>
    <row r="1690" spans="7:27" x14ac:dyDescent="0.45">
      <c r="G1690"/>
      <c r="H1690"/>
      <c r="I1690"/>
      <c r="J1690"/>
      <c r="M1690"/>
      <c r="O1690"/>
      <c r="Q1690"/>
      <c r="R1690"/>
      <c r="S1690"/>
      <c r="T1690"/>
      <c r="U1690"/>
      <c r="V1690"/>
      <c r="Z1690"/>
      <c r="AA1690"/>
    </row>
    <row r="1691" spans="7:27" x14ac:dyDescent="0.45">
      <c r="G1691"/>
      <c r="H1691"/>
      <c r="I1691"/>
      <c r="J1691"/>
      <c r="M1691"/>
      <c r="O1691"/>
      <c r="Q1691"/>
      <c r="R1691"/>
      <c r="S1691"/>
      <c r="T1691"/>
      <c r="U1691"/>
      <c r="V1691"/>
      <c r="Z1691"/>
      <c r="AA1691"/>
    </row>
    <row r="1692" spans="7:27" x14ac:dyDescent="0.45">
      <c r="G1692"/>
      <c r="H1692"/>
      <c r="I1692"/>
      <c r="J1692"/>
      <c r="M1692"/>
      <c r="O1692"/>
      <c r="Q1692"/>
      <c r="R1692"/>
      <c r="S1692"/>
      <c r="T1692"/>
      <c r="U1692"/>
      <c r="V1692"/>
      <c r="Z1692"/>
      <c r="AA1692"/>
    </row>
    <row r="1693" spans="7:27" x14ac:dyDescent="0.45">
      <c r="G1693"/>
      <c r="H1693"/>
      <c r="I1693"/>
      <c r="J1693"/>
      <c r="M1693"/>
      <c r="O1693"/>
      <c r="Q1693"/>
      <c r="R1693"/>
      <c r="S1693"/>
      <c r="T1693"/>
      <c r="U1693"/>
      <c r="V1693"/>
      <c r="Z1693"/>
      <c r="AA1693"/>
    </row>
    <row r="1694" spans="7:27" x14ac:dyDescent="0.45">
      <c r="G1694"/>
      <c r="H1694"/>
      <c r="I1694"/>
      <c r="J1694"/>
      <c r="M1694"/>
      <c r="O1694"/>
      <c r="Q1694"/>
      <c r="R1694"/>
      <c r="S1694"/>
      <c r="T1694"/>
      <c r="U1694"/>
      <c r="V1694"/>
      <c r="Z1694"/>
      <c r="AA1694"/>
    </row>
    <row r="1695" spans="7:27" x14ac:dyDescent="0.45">
      <c r="G1695"/>
      <c r="H1695"/>
      <c r="I1695"/>
      <c r="J1695"/>
      <c r="M1695"/>
      <c r="O1695"/>
      <c r="Q1695"/>
      <c r="R1695"/>
      <c r="S1695"/>
      <c r="T1695"/>
      <c r="U1695"/>
      <c r="V1695"/>
      <c r="Z1695"/>
      <c r="AA1695"/>
    </row>
    <row r="1696" spans="7:27" x14ac:dyDescent="0.45">
      <c r="G1696"/>
      <c r="H1696"/>
      <c r="I1696"/>
      <c r="J1696"/>
      <c r="M1696"/>
      <c r="O1696"/>
      <c r="Q1696"/>
      <c r="R1696"/>
      <c r="S1696"/>
      <c r="T1696"/>
      <c r="U1696"/>
      <c r="V1696"/>
      <c r="Z1696"/>
      <c r="AA1696"/>
    </row>
    <row r="1697" spans="7:27" x14ac:dyDescent="0.45">
      <c r="G1697"/>
      <c r="H1697"/>
      <c r="I1697"/>
      <c r="J1697"/>
      <c r="M1697"/>
      <c r="O1697"/>
      <c r="Q1697"/>
      <c r="R1697"/>
      <c r="S1697"/>
      <c r="T1697"/>
      <c r="U1697"/>
      <c r="V1697"/>
      <c r="Z1697"/>
      <c r="AA1697"/>
    </row>
    <row r="1698" spans="7:27" x14ac:dyDescent="0.45">
      <c r="G1698"/>
      <c r="H1698"/>
      <c r="I1698"/>
      <c r="J1698"/>
      <c r="M1698"/>
      <c r="O1698"/>
      <c r="Q1698"/>
      <c r="R1698"/>
      <c r="S1698"/>
      <c r="T1698"/>
      <c r="U1698"/>
      <c r="V1698"/>
      <c r="Z1698"/>
      <c r="AA1698"/>
    </row>
    <row r="1699" spans="7:27" x14ac:dyDescent="0.45">
      <c r="G1699"/>
      <c r="H1699"/>
      <c r="I1699"/>
      <c r="J1699"/>
      <c r="M1699"/>
      <c r="O1699"/>
      <c r="Q1699"/>
      <c r="R1699"/>
      <c r="S1699"/>
      <c r="T1699"/>
      <c r="U1699"/>
      <c r="V1699"/>
      <c r="Z1699"/>
      <c r="AA1699"/>
    </row>
    <row r="1700" spans="7:27" x14ac:dyDescent="0.45">
      <c r="G1700"/>
      <c r="H1700"/>
      <c r="I1700"/>
      <c r="J1700"/>
      <c r="M1700"/>
      <c r="O1700"/>
      <c r="Q1700"/>
      <c r="R1700"/>
      <c r="S1700"/>
      <c r="T1700"/>
      <c r="U1700"/>
      <c r="V1700"/>
      <c r="Z1700"/>
      <c r="AA1700"/>
    </row>
    <row r="1701" spans="7:27" x14ac:dyDescent="0.45">
      <c r="G1701"/>
      <c r="H1701"/>
      <c r="I1701"/>
      <c r="J1701"/>
      <c r="M1701"/>
      <c r="O1701"/>
      <c r="Q1701"/>
      <c r="R1701"/>
      <c r="S1701"/>
      <c r="T1701"/>
      <c r="U1701"/>
      <c r="V1701"/>
      <c r="Z1701"/>
      <c r="AA1701"/>
    </row>
    <row r="1702" spans="7:27" x14ac:dyDescent="0.45">
      <c r="G1702"/>
      <c r="H1702"/>
      <c r="I1702"/>
      <c r="J1702"/>
      <c r="M1702"/>
      <c r="O1702"/>
      <c r="Q1702"/>
      <c r="R1702"/>
      <c r="S1702"/>
      <c r="T1702"/>
      <c r="U1702"/>
      <c r="V1702"/>
      <c r="Z1702"/>
      <c r="AA1702"/>
    </row>
    <row r="1703" spans="7:27" x14ac:dyDescent="0.45">
      <c r="G1703"/>
      <c r="H1703"/>
      <c r="I1703"/>
      <c r="J1703"/>
      <c r="M1703"/>
      <c r="O1703"/>
      <c r="Q1703"/>
      <c r="R1703"/>
      <c r="S1703"/>
      <c r="T1703"/>
      <c r="U1703"/>
      <c r="V1703"/>
      <c r="Z1703"/>
      <c r="AA1703"/>
    </row>
    <row r="1704" spans="7:27" x14ac:dyDescent="0.45">
      <c r="G1704"/>
      <c r="H1704"/>
      <c r="I1704"/>
      <c r="J1704"/>
      <c r="M1704"/>
      <c r="O1704"/>
      <c r="Q1704"/>
      <c r="R1704"/>
      <c r="S1704"/>
      <c r="T1704"/>
      <c r="U1704"/>
      <c r="V1704"/>
      <c r="Z1704"/>
      <c r="AA1704"/>
    </row>
    <row r="1705" spans="7:27" x14ac:dyDescent="0.45">
      <c r="G1705"/>
      <c r="H1705"/>
      <c r="I1705"/>
      <c r="J1705"/>
      <c r="M1705"/>
      <c r="O1705"/>
      <c r="Q1705"/>
      <c r="R1705"/>
      <c r="S1705"/>
      <c r="T1705"/>
      <c r="U1705"/>
      <c r="V1705"/>
      <c r="Z1705"/>
      <c r="AA1705"/>
    </row>
    <row r="1706" spans="7:27" x14ac:dyDescent="0.45">
      <c r="G1706"/>
      <c r="H1706"/>
      <c r="I1706"/>
      <c r="J1706"/>
      <c r="M1706"/>
      <c r="O1706"/>
      <c r="Q1706"/>
      <c r="R1706"/>
      <c r="S1706"/>
      <c r="T1706"/>
      <c r="U1706"/>
      <c r="V1706"/>
      <c r="Z1706"/>
      <c r="AA1706"/>
    </row>
    <row r="1707" spans="7:27" x14ac:dyDescent="0.45">
      <c r="G1707"/>
      <c r="H1707"/>
      <c r="I1707"/>
      <c r="J1707"/>
      <c r="M1707"/>
      <c r="O1707"/>
      <c r="Q1707"/>
      <c r="R1707"/>
      <c r="S1707"/>
      <c r="T1707"/>
      <c r="U1707"/>
      <c r="V1707"/>
      <c r="Z1707"/>
      <c r="AA1707"/>
    </row>
    <row r="1708" spans="7:27" x14ac:dyDescent="0.45">
      <c r="G1708"/>
      <c r="H1708"/>
      <c r="I1708"/>
      <c r="J1708"/>
      <c r="M1708"/>
      <c r="O1708"/>
      <c r="Q1708"/>
      <c r="R1708"/>
      <c r="S1708"/>
      <c r="T1708"/>
      <c r="U1708"/>
      <c r="V1708"/>
      <c r="Z1708"/>
      <c r="AA1708"/>
    </row>
    <row r="1709" spans="7:27" x14ac:dyDescent="0.45">
      <c r="G1709"/>
      <c r="H1709"/>
      <c r="I1709"/>
      <c r="J1709"/>
      <c r="M1709"/>
      <c r="O1709"/>
      <c r="Q1709"/>
      <c r="R1709"/>
      <c r="S1709"/>
      <c r="T1709"/>
      <c r="U1709"/>
      <c r="V1709"/>
      <c r="Z1709"/>
      <c r="AA1709"/>
    </row>
    <row r="1710" spans="7:27" x14ac:dyDescent="0.45">
      <c r="G1710"/>
      <c r="H1710"/>
      <c r="I1710"/>
      <c r="J1710"/>
      <c r="M1710"/>
      <c r="O1710"/>
      <c r="Q1710"/>
      <c r="R1710"/>
      <c r="S1710"/>
      <c r="T1710"/>
      <c r="U1710"/>
      <c r="V1710"/>
      <c r="Z1710"/>
      <c r="AA1710"/>
    </row>
    <row r="1711" spans="7:27" x14ac:dyDescent="0.45">
      <c r="G1711"/>
      <c r="H1711"/>
      <c r="I1711"/>
      <c r="J1711"/>
      <c r="M1711"/>
      <c r="O1711"/>
      <c r="Q1711"/>
      <c r="R1711"/>
      <c r="S1711"/>
      <c r="T1711"/>
      <c r="U1711"/>
      <c r="V1711"/>
      <c r="Z1711"/>
      <c r="AA1711"/>
    </row>
    <row r="1712" spans="7:27" x14ac:dyDescent="0.45">
      <c r="G1712"/>
      <c r="H1712"/>
      <c r="I1712"/>
      <c r="J1712"/>
      <c r="M1712"/>
      <c r="O1712"/>
      <c r="Q1712"/>
      <c r="R1712"/>
      <c r="S1712"/>
      <c r="T1712"/>
      <c r="U1712"/>
      <c r="V1712"/>
      <c r="Z1712"/>
      <c r="AA1712"/>
    </row>
    <row r="1713" spans="7:27" x14ac:dyDescent="0.45">
      <c r="G1713"/>
      <c r="H1713"/>
      <c r="I1713"/>
      <c r="J1713"/>
      <c r="M1713"/>
      <c r="O1713"/>
      <c r="Q1713"/>
      <c r="R1713"/>
      <c r="S1713"/>
      <c r="T1713"/>
      <c r="U1713"/>
      <c r="V1713"/>
      <c r="Z1713"/>
      <c r="AA1713"/>
    </row>
    <row r="1714" spans="7:27" x14ac:dyDescent="0.45">
      <c r="G1714"/>
      <c r="H1714"/>
      <c r="I1714"/>
      <c r="J1714"/>
      <c r="M1714"/>
      <c r="O1714"/>
      <c r="Q1714"/>
      <c r="R1714"/>
      <c r="S1714"/>
      <c r="T1714"/>
      <c r="U1714"/>
      <c r="V1714"/>
      <c r="Z1714"/>
      <c r="AA1714"/>
    </row>
    <row r="1715" spans="7:27" x14ac:dyDescent="0.45">
      <c r="G1715"/>
      <c r="H1715"/>
      <c r="I1715"/>
      <c r="J1715"/>
      <c r="M1715"/>
      <c r="O1715"/>
      <c r="Q1715"/>
      <c r="R1715"/>
      <c r="S1715"/>
      <c r="T1715"/>
      <c r="U1715"/>
      <c r="V1715"/>
      <c r="Z1715"/>
      <c r="AA1715"/>
    </row>
    <row r="1716" spans="7:27" x14ac:dyDescent="0.45">
      <c r="G1716"/>
      <c r="H1716"/>
      <c r="I1716"/>
      <c r="J1716"/>
      <c r="M1716"/>
      <c r="O1716"/>
      <c r="Q1716"/>
      <c r="R1716"/>
      <c r="S1716"/>
      <c r="T1716"/>
      <c r="U1716"/>
      <c r="V1716"/>
      <c r="Z1716"/>
      <c r="AA1716"/>
    </row>
    <row r="1717" spans="7:27" x14ac:dyDescent="0.45">
      <c r="G1717"/>
      <c r="H1717"/>
      <c r="I1717"/>
      <c r="J1717"/>
      <c r="M1717"/>
      <c r="O1717"/>
      <c r="Q1717"/>
      <c r="R1717"/>
      <c r="S1717"/>
      <c r="T1717"/>
      <c r="U1717"/>
      <c r="V1717"/>
      <c r="Z1717"/>
      <c r="AA1717"/>
    </row>
    <row r="1718" spans="7:27" x14ac:dyDescent="0.45">
      <c r="G1718"/>
      <c r="H1718"/>
      <c r="I1718"/>
      <c r="J1718"/>
      <c r="M1718"/>
      <c r="O1718"/>
      <c r="Q1718"/>
      <c r="R1718"/>
      <c r="S1718"/>
      <c r="T1718"/>
      <c r="U1718"/>
      <c r="V1718"/>
      <c r="Z1718"/>
      <c r="AA1718"/>
    </row>
    <row r="1719" spans="7:27" x14ac:dyDescent="0.45">
      <c r="G1719"/>
      <c r="H1719"/>
      <c r="I1719"/>
      <c r="J1719"/>
      <c r="M1719"/>
      <c r="O1719"/>
      <c r="Q1719"/>
      <c r="R1719"/>
      <c r="S1719"/>
      <c r="T1719"/>
      <c r="U1719"/>
      <c r="V1719"/>
      <c r="Z1719"/>
      <c r="AA1719"/>
    </row>
    <row r="1720" spans="7:27" x14ac:dyDescent="0.45">
      <c r="G1720"/>
      <c r="H1720"/>
      <c r="I1720"/>
      <c r="J1720"/>
      <c r="M1720"/>
      <c r="O1720"/>
      <c r="Q1720"/>
      <c r="R1720"/>
      <c r="S1720"/>
      <c r="T1720"/>
      <c r="U1720"/>
      <c r="V1720"/>
      <c r="Z1720"/>
      <c r="AA1720"/>
    </row>
    <row r="1721" spans="7:27" x14ac:dyDescent="0.45">
      <c r="G1721"/>
      <c r="H1721"/>
      <c r="I1721"/>
      <c r="J1721"/>
      <c r="M1721"/>
      <c r="O1721"/>
      <c r="Q1721"/>
      <c r="R1721"/>
      <c r="S1721"/>
      <c r="T1721"/>
      <c r="U1721"/>
      <c r="V1721"/>
      <c r="Z1721"/>
      <c r="AA1721"/>
    </row>
    <row r="1722" spans="7:27" x14ac:dyDescent="0.45">
      <c r="G1722"/>
      <c r="H1722"/>
      <c r="I1722"/>
      <c r="J1722"/>
      <c r="M1722"/>
      <c r="O1722"/>
      <c r="Q1722"/>
      <c r="R1722"/>
      <c r="S1722"/>
      <c r="T1722"/>
      <c r="U1722"/>
      <c r="V1722"/>
      <c r="Z1722"/>
      <c r="AA1722"/>
    </row>
    <row r="1723" spans="7:27" x14ac:dyDescent="0.45">
      <c r="G1723"/>
      <c r="H1723"/>
      <c r="I1723"/>
      <c r="J1723"/>
      <c r="M1723"/>
      <c r="O1723"/>
      <c r="Q1723"/>
      <c r="R1723"/>
      <c r="S1723"/>
      <c r="T1723"/>
      <c r="U1723"/>
      <c r="V1723"/>
      <c r="Z1723"/>
      <c r="AA1723"/>
    </row>
    <row r="1724" spans="7:27" x14ac:dyDescent="0.45">
      <c r="G1724"/>
      <c r="H1724"/>
      <c r="I1724"/>
      <c r="J1724"/>
      <c r="M1724"/>
      <c r="O1724"/>
      <c r="Q1724"/>
      <c r="R1724"/>
      <c r="S1724"/>
      <c r="T1724"/>
      <c r="U1724"/>
      <c r="V1724"/>
      <c r="Z1724"/>
      <c r="AA1724"/>
    </row>
    <row r="1725" spans="7:27" x14ac:dyDescent="0.45">
      <c r="G1725"/>
      <c r="H1725"/>
      <c r="I1725"/>
      <c r="J1725"/>
      <c r="M1725"/>
      <c r="O1725"/>
      <c r="Q1725"/>
      <c r="R1725"/>
      <c r="S1725"/>
      <c r="T1725"/>
      <c r="U1725"/>
      <c r="V1725"/>
      <c r="Z1725"/>
      <c r="AA1725"/>
    </row>
    <row r="1726" spans="7:27" x14ac:dyDescent="0.45">
      <c r="G1726"/>
      <c r="H1726"/>
      <c r="I1726"/>
      <c r="J1726"/>
      <c r="M1726"/>
      <c r="O1726"/>
      <c r="Q1726"/>
      <c r="R1726"/>
      <c r="S1726"/>
      <c r="T1726"/>
      <c r="U1726"/>
      <c r="V1726"/>
      <c r="Z1726"/>
      <c r="AA1726"/>
    </row>
    <row r="1727" spans="7:27" x14ac:dyDescent="0.45">
      <c r="G1727"/>
      <c r="H1727"/>
      <c r="I1727"/>
      <c r="J1727"/>
      <c r="M1727"/>
      <c r="O1727"/>
      <c r="Q1727"/>
      <c r="R1727"/>
      <c r="S1727"/>
      <c r="T1727"/>
      <c r="U1727"/>
      <c r="V1727"/>
      <c r="Z1727"/>
      <c r="AA1727"/>
    </row>
    <row r="1728" spans="7:27" x14ac:dyDescent="0.45">
      <c r="G1728"/>
      <c r="H1728"/>
      <c r="I1728"/>
      <c r="J1728"/>
      <c r="M1728"/>
      <c r="O1728"/>
      <c r="Q1728"/>
      <c r="R1728"/>
      <c r="S1728"/>
      <c r="T1728"/>
      <c r="U1728"/>
      <c r="V1728"/>
      <c r="Z1728"/>
      <c r="AA1728"/>
    </row>
    <row r="1729" spans="7:27" x14ac:dyDescent="0.45">
      <c r="G1729"/>
      <c r="H1729"/>
      <c r="I1729"/>
      <c r="J1729"/>
      <c r="M1729"/>
      <c r="O1729"/>
      <c r="Q1729"/>
      <c r="R1729"/>
      <c r="S1729"/>
      <c r="T1729"/>
      <c r="U1729"/>
      <c r="V1729"/>
      <c r="Z1729"/>
      <c r="AA1729"/>
    </row>
    <row r="1730" spans="7:27" x14ac:dyDescent="0.45">
      <c r="G1730"/>
      <c r="H1730"/>
      <c r="I1730"/>
      <c r="J1730"/>
      <c r="M1730"/>
      <c r="O1730"/>
      <c r="Q1730"/>
      <c r="R1730"/>
      <c r="S1730"/>
      <c r="T1730"/>
      <c r="U1730"/>
      <c r="V1730"/>
      <c r="Z1730"/>
      <c r="AA1730"/>
    </row>
    <row r="1731" spans="7:27" x14ac:dyDescent="0.45">
      <c r="G1731"/>
      <c r="H1731"/>
      <c r="I1731"/>
      <c r="J1731"/>
      <c r="M1731"/>
      <c r="O1731"/>
      <c r="Q1731"/>
      <c r="R1731"/>
      <c r="S1731"/>
      <c r="T1731"/>
      <c r="U1731"/>
      <c r="V1731"/>
      <c r="Z1731"/>
      <c r="AA1731"/>
    </row>
    <row r="1732" spans="7:27" x14ac:dyDescent="0.45">
      <c r="G1732"/>
      <c r="H1732"/>
      <c r="I1732"/>
      <c r="J1732"/>
      <c r="M1732"/>
      <c r="O1732"/>
      <c r="Q1732"/>
      <c r="R1732"/>
      <c r="S1732"/>
      <c r="T1732"/>
      <c r="U1732"/>
      <c r="V1732"/>
      <c r="Z1732"/>
      <c r="AA1732"/>
    </row>
    <row r="1733" spans="7:27" x14ac:dyDescent="0.45">
      <c r="G1733"/>
      <c r="H1733"/>
      <c r="I1733"/>
      <c r="J1733"/>
      <c r="M1733"/>
      <c r="O1733"/>
      <c r="Q1733"/>
      <c r="R1733"/>
      <c r="S1733"/>
      <c r="T1733"/>
      <c r="U1733"/>
      <c r="V1733"/>
      <c r="Z1733"/>
      <c r="AA1733"/>
    </row>
    <row r="1734" spans="7:27" x14ac:dyDescent="0.45">
      <c r="G1734"/>
      <c r="H1734"/>
      <c r="I1734"/>
      <c r="J1734"/>
      <c r="M1734"/>
      <c r="O1734"/>
      <c r="Q1734"/>
      <c r="R1734"/>
      <c r="S1734"/>
      <c r="T1734"/>
      <c r="U1734"/>
      <c r="V1734"/>
      <c r="Z1734"/>
      <c r="AA1734"/>
    </row>
    <row r="1735" spans="7:27" x14ac:dyDescent="0.45">
      <c r="G1735"/>
      <c r="H1735"/>
      <c r="I1735"/>
      <c r="J1735"/>
      <c r="M1735"/>
      <c r="O1735"/>
      <c r="Q1735"/>
      <c r="R1735"/>
      <c r="S1735"/>
      <c r="T1735"/>
      <c r="U1735"/>
      <c r="V1735"/>
      <c r="Z1735"/>
      <c r="AA1735"/>
    </row>
    <row r="1736" spans="7:27" x14ac:dyDescent="0.45">
      <c r="G1736"/>
      <c r="H1736"/>
      <c r="I1736"/>
      <c r="J1736"/>
      <c r="M1736"/>
      <c r="O1736"/>
      <c r="Q1736"/>
      <c r="R1736"/>
      <c r="S1736"/>
      <c r="T1736"/>
      <c r="U1736"/>
      <c r="V1736"/>
      <c r="Z1736"/>
      <c r="AA1736"/>
    </row>
    <row r="1737" spans="7:27" x14ac:dyDescent="0.45">
      <c r="G1737"/>
      <c r="H1737"/>
      <c r="I1737"/>
      <c r="J1737"/>
      <c r="M1737"/>
      <c r="O1737"/>
      <c r="Q1737"/>
      <c r="R1737"/>
      <c r="S1737"/>
      <c r="T1737"/>
      <c r="U1737"/>
      <c r="V1737"/>
      <c r="Z1737"/>
      <c r="AA1737"/>
    </row>
    <row r="1738" spans="7:27" x14ac:dyDescent="0.45">
      <c r="G1738"/>
      <c r="H1738"/>
      <c r="I1738"/>
      <c r="J1738"/>
      <c r="M1738"/>
      <c r="O1738"/>
      <c r="Q1738"/>
      <c r="R1738"/>
      <c r="S1738"/>
      <c r="T1738"/>
      <c r="U1738"/>
      <c r="V1738"/>
      <c r="Z1738"/>
      <c r="AA1738"/>
    </row>
    <row r="1739" spans="7:27" x14ac:dyDescent="0.45">
      <c r="G1739"/>
      <c r="H1739"/>
      <c r="I1739"/>
      <c r="J1739"/>
      <c r="M1739"/>
      <c r="O1739"/>
      <c r="Q1739"/>
      <c r="R1739"/>
      <c r="S1739"/>
      <c r="T1739"/>
      <c r="U1739"/>
      <c r="V1739"/>
      <c r="Z1739"/>
      <c r="AA1739"/>
    </row>
    <row r="1740" spans="7:27" x14ac:dyDescent="0.45">
      <c r="G1740"/>
      <c r="H1740"/>
      <c r="I1740"/>
      <c r="J1740"/>
      <c r="M1740"/>
      <c r="O1740"/>
      <c r="Q1740"/>
      <c r="R1740"/>
      <c r="S1740"/>
      <c r="T1740"/>
      <c r="U1740"/>
      <c r="V1740"/>
      <c r="Z1740"/>
      <c r="AA1740"/>
    </row>
    <row r="1741" spans="7:27" x14ac:dyDescent="0.45">
      <c r="G1741"/>
      <c r="H1741"/>
      <c r="I1741"/>
      <c r="J1741"/>
      <c r="M1741"/>
      <c r="O1741"/>
      <c r="Q1741"/>
      <c r="R1741"/>
      <c r="S1741"/>
      <c r="T1741"/>
      <c r="U1741"/>
      <c r="V1741"/>
      <c r="Z1741"/>
      <c r="AA1741"/>
    </row>
    <row r="1742" spans="7:27" x14ac:dyDescent="0.45">
      <c r="G1742"/>
      <c r="H1742"/>
      <c r="I1742"/>
      <c r="J1742"/>
      <c r="M1742"/>
      <c r="O1742"/>
      <c r="Q1742"/>
      <c r="R1742"/>
      <c r="S1742"/>
      <c r="T1742"/>
      <c r="U1742"/>
      <c r="V1742"/>
      <c r="Z1742"/>
      <c r="AA1742"/>
    </row>
    <row r="1743" spans="7:27" x14ac:dyDescent="0.45">
      <c r="G1743"/>
      <c r="H1743"/>
      <c r="I1743"/>
      <c r="J1743"/>
      <c r="M1743"/>
      <c r="O1743"/>
      <c r="Q1743"/>
      <c r="R1743"/>
      <c r="S1743"/>
      <c r="T1743"/>
      <c r="U1743"/>
      <c r="V1743"/>
      <c r="Z1743"/>
      <c r="AA1743"/>
    </row>
    <row r="1744" spans="7:27" x14ac:dyDescent="0.45">
      <c r="G1744"/>
      <c r="H1744"/>
      <c r="I1744"/>
      <c r="J1744"/>
      <c r="M1744"/>
      <c r="O1744"/>
      <c r="Q1744"/>
      <c r="R1744"/>
      <c r="S1744"/>
      <c r="T1744"/>
      <c r="U1744"/>
      <c r="V1744"/>
      <c r="Z1744"/>
      <c r="AA1744"/>
    </row>
    <row r="1745" spans="7:27" x14ac:dyDescent="0.45">
      <c r="G1745"/>
      <c r="H1745"/>
      <c r="I1745"/>
      <c r="J1745"/>
      <c r="M1745"/>
      <c r="O1745"/>
      <c r="Q1745"/>
      <c r="R1745"/>
      <c r="S1745"/>
      <c r="T1745"/>
      <c r="U1745"/>
      <c r="V1745"/>
      <c r="Z1745"/>
      <c r="AA1745"/>
    </row>
    <row r="1746" spans="7:27" x14ac:dyDescent="0.45">
      <c r="G1746"/>
      <c r="H1746"/>
      <c r="I1746"/>
      <c r="J1746"/>
      <c r="M1746"/>
      <c r="O1746"/>
      <c r="Q1746"/>
      <c r="R1746"/>
      <c r="S1746"/>
      <c r="T1746"/>
      <c r="U1746"/>
      <c r="V1746"/>
      <c r="Z1746"/>
      <c r="AA1746"/>
    </row>
    <row r="1747" spans="7:27" x14ac:dyDescent="0.45">
      <c r="G1747"/>
      <c r="H1747"/>
      <c r="I1747"/>
      <c r="J1747"/>
      <c r="M1747"/>
      <c r="O1747"/>
      <c r="Q1747"/>
      <c r="R1747"/>
      <c r="S1747"/>
      <c r="T1747"/>
      <c r="U1747"/>
      <c r="V1747"/>
      <c r="Z1747"/>
      <c r="AA1747"/>
    </row>
    <row r="1748" spans="7:27" x14ac:dyDescent="0.45">
      <c r="G1748"/>
      <c r="H1748"/>
      <c r="I1748"/>
      <c r="J1748"/>
      <c r="M1748"/>
      <c r="O1748"/>
      <c r="Q1748"/>
      <c r="R1748"/>
      <c r="S1748"/>
      <c r="T1748"/>
      <c r="U1748"/>
      <c r="V1748"/>
      <c r="Z1748"/>
      <c r="AA1748"/>
    </row>
    <row r="1749" spans="7:27" x14ac:dyDescent="0.45">
      <c r="G1749"/>
      <c r="H1749"/>
      <c r="I1749"/>
      <c r="J1749"/>
      <c r="M1749"/>
      <c r="O1749"/>
      <c r="Q1749"/>
      <c r="R1749"/>
      <c r="S1749"/>
      <c r="T1749"/>
      <c r="U1749"/>
      <c r="V1749"/>
      <c r="Z1749"/>
      <c r="AA1749"/>
    </row>
    <row r="1750" spans="7:27" x14ac:dyDescent="0.45">
      <c r="G1750"/>
      <c r="H1750"/>
      <c r="I1750"/>
      <c r="J1750"/>
      <c r="M1750"/>
      <c r="O1750"/>
      <c r="Q1750"/>
      <c r="R1750"/>
      <c r="S1750"/>
      <c r="T1750"/>
      <c r="U1750"/>
      <c r="V1750"/>
      <c r="Z1750"/>
      <c r="AA1750"/>
    </row>
    <row r="1751" spans="7:27" x14ac:dyDescent="0.45">
      <c r="G1751"/>
      <c r="H1751"/>
      <c r="I1751"/>
      <c r="J1751"/>
      <c r="M1751"/>
      <c r="O1751"/>
      <c r="Q1751"/>
      <c r="R1751"/>
      <c r="S1751"/>
      <c r="T1751"/>
      <c r="U1751"/>
      <c r="V1751"/>
      <c r="Z1751"/>
      <c r="AA1751"/>
    </row>
    <row r="1752" spans="7:27" x14ac:dyDescent="0.45">
      <c r="G1752"/>
      <c r="H1752"/>
      <c r="I1752"/>
      <c r="J1752"/>
      <c r="M1752"/>
      <c r="O1752"/>
      <c r="Q1752"/>
      <c r="R1752"/>
      <c r="S1752"/>
      <c r="T1752"/>
      <c r="U1752"/>
      <c r="V1752"/>
      <c r="Z1752"/>
      <c r="AA1752"/>
    </row>
    <row r="1753" spans="7:27" x14ac:dyDescent="0.45">
      <c r="G1753"/>
      <c r="H1753"/>
      <c r="I1753"/>
      <c r="J1753"/>
      <c r="M1753"/>
      <c r="O1753"/>
      <c r="Q1753"/>
      <c r="R1753"/>
      <c r="S1753"/>
      <c r="T1753"/>
      <c r="U1753"/>
      <c r="V1753"/>
      <c r="Z1753"/>
      <c r="AA1753"/>
    </row>
    <row r="1754" spans="7:27" x14ac:dyDescent="0.45">
      <c r="G1754"/>
      <c r="H1754"/>
      <c r="I1754"/>
      <c r="J1754"/>
      <c r="M1754"/>
      <c r="O1754"/>
      <c r="Q1754"/>
      <c r="R1754"/>
      <c r="S1754"/>
      <c r="T1754"/>
      <c r="U1754"/>
      <c r="V1754"/>
      <c r="Z1754"/>
      <c r="AA1754"/>
    </row>
    <row r="1755" spans="7:27" x14ac:dyDescent="0.45">
      <c r="G1755"/>
      <c r="H1755"/>
      <c r="I1755"/>
      <c r="J1755"/>
      <c r="M1755"/>
      <c r="O1755"/>
      <c r="Q1755"/>
      <c r="R1755"/>
      <c r="S1755"/>
      <c r="T1755"/>
      <c r="U1755"/>
      <c r="V1755"/>
      <c r="Z1755"/>
      <c r="AA1755"/>
    </row>
    <row r="1756" spans="7:27" x14ac:dyDescent="0.45">
      <c r="G1756"/>
      <c r="H1756"/>
      <c r="I1756"/>
      <c r="J1756"/>
      <c r="M1756"/>
      <c r="O1756"/>
      <c r="Q1756"/>
      <c r="R1756"/>
      <c r="S1756"/>
      <c r="T1756"/>
      <c r="U1756"/>
      <c r="V1756"/>
      <c r="Z1756"/>
      <c r="AA1756"/>
    </row>
    <row r="1757" spans="7:27" x14ac:dyDescent="0.45">
      <c r="G1757"/>
      <c r="H1757"/>
      <c r="I1757"/>
      <c r="J1757"/>
      <c r="M1757"/>
      <c r="O1757"/>
      <c r="Q1757"/>
      <c r="R1757"/>
      <c r="S1757"/>
      <c r="T1757"/>
      <c r="U1757"/>
      <c r="V1757"/>
      <c r="Z1757"/>
      <c r="AA1757"/>
    </row>
    <row r="1758" spans="7:27" x14ac:dyDescent="0.45">
      <c r="G1758"/>
      <c r="H1758"/>
      <c r="I1758"/>
      <c r="J1758"/>
      <c r="M1758"/>
      <c r="O1758"/>
      <c r="Q1758"/>
      <c r="R1758"/>
      <c r="S1758"/>
      <c r="T1758"/>
      <c r="U1758"/>
      <c r="V1758"/>
      <c r="Z1758"/>
      <c r="AA1758"/>
    </row>
    <row r="1759" spans="7:27" x14ac:dyDescent="0.45">
      <c r="G1759"/>
      <c r="H1759"/>
      <c r="I1759"/>
      <c r="J1759"/>
      <c r="M1759"/>
      <c r="O1759"/>
      <c r="Q1759"/>
      <c r="R1759"/>
      <c r="S1759"/>
      <c r="T1759"/>
      <c r="U1759"/>
      <c r="V1759"/>
      <c r="Z1759"/>
      <c r="AA1759"/>
    </row>
    <row r="1760" spans="7:27" x14ac:dyDescent="0.45">
      <c r="G1760"/>
      <c r="H1760"/>
      <c r="I1760"/>
      <c r="J1760"/>
      <c r="M1760"/>
      <c r="O1760"/>
      <c r="Q1760"/>
      <c r="R1760"/>
      <c r="S1760"/>
      <c r="T1760"/>
      <c r="U1760"/>
      <c r="V1760"/>
      <c r="Z1760"/>
      <c r="AA1760"/>
    </row>
    <row r="1761" spans="7:27" x14ac:dyDescent="0.45">
      <c r="G1761"/>
      <c r="H1761"/>
      <c r="I1761"/>
      <c r="J1761"/>
      <c r="M1761"/>
      <c r="O1761"/>
      <c r="Q1761"/>
      <c r="R1761"/>
      <c r="S1761"/>
      <c r="T1761"/>
      <c r="U1761"/>
      <c r="V1761"/>
      <c r="Z1761"/>
      <c r="AA1761"/>
    </row>
    <row r="1762" spans="7:27" x14ac:dyDescent="0.45">
      <c r="G1762"/>
      <c r="H1762"/>
      <c r="I1762"/>
      <c r="J1762"/>
      <c r="M1762"/>
      <c r="O1762"/>
      <c r="Q1762"/>
      <c r="R1762"/>
      <c r="S1762"/>
      <c r="T1762"/>
      <c r="U1762"/>
      <c r="V1762"/>
      <c r="Z1762"/>
      <c r="AA1762"/>
    </row>
    <row r="1763" spans="7:27" x14ac:dyDescent="0.45">
      <c r="G1763"/>
      <c r="H1763"/>
      <c r="I1763"/>
      <c r="J1763"/>
      <c r="M1763"/>
      <c r="O1763"/>
      <c r="Q1763"/>
      <c r="R1763"/>
      <c r="S1763"/>
      <c r="T1763"/>
      <c r="U1763"/>
      <c r="V1763"/>
      <c r="Z1763"/>
      <c r="AA1763"/>
    </row>
    <row r="1764" spans="7:27" x14ac:dyDescent="0.45">
      <c r="G1764"/>
      <c r="H1764"/>
      <c r="I1764"/>
      <c r="J1764"/>
      <c r="M1764"/>
      <c r="O1764"/>
      <c r="Q1764"/>
      <c r="R1764"/>
      <c r="S1764"/>
      <c r="T1764"/>
      <c r="U1764"/>
      <c r="V1764"/>
      <c r="Z1764"/>
      <c r="AA1764"/>
    </row>
    <row r="1765" spans="7:27" x14ac:dyDescent="0.45">
      <c r="G1765"/>
      <c r="H1765"/>
      <c r="I1765"/>
      <c r="J1765"/>
      <c r="M1765"/>
      <c r="O1765"/>
      <c r="Q1765"/>
      <c r="R1765"/>
      <c r="S1765"/>
      <c r="T1765"/>
      <c r="U1765"/>
      <c r="V1765"/>
      <c r="Z1765"/>
      <c r="AA1765"/>
    </row>
    <row r="1766" spans="7:27" x14ac:dyDescent="0.45">
      <c r="G1766"/>
      <c r="H1766"/>
      <c r="I1766"/>
      <c r="J1766"/>
      <c r="M1766"/>
      <c r="O1766"/>
      <c r="Q1766"/>
      <c r="R1766"/>
      <c r="S1766"/>
      <c r="T1766"/>
      <c r="U1766"/>
      <c r="V1766"/>
      <c r="Z1766"/>
      <c r="AA1766"/>
    </row>
    <row r="1767" spans="7:27" x14ac:dyDescent="0.45">
      <c r="G1767"/>
      <c r="H1767"/>
      <c r="I1767"/>
      <c r="J1767"/>
      <c r="M1767"/>
      <c r="O1767"/>
      <c r="Q1767"/>
      <c r="R1767"/>
      <c r="S1767"/>
      <c r="T1767"/>
      <c r="U1767"/>
      <c r="V1767"/>
      <c r="Z1767"/>
      <c r="AA1767"/>
    </row>
    <row r="1768" spans="7:27" x14ac:dyDescent="0.45">
      <c r="G1768"/>
      <c r="H1768"/>
      <c r="I1768"/>
      <c r="J1768"/>
      <c r="M1768"/>
      <c r="O1768"/>
      <c r="Q1768"/>
      <c r="R1768"/>
      <c r="S1768"/>
      <c r="T1768"/>
      <c r="U1768"/>
      <c r="V1768"/>
      <c r="Z1768"/>
      <c r="AA1768"/>
    </row>
    <row r="1769" spans="7:27" x14ac:dyDescent="0.45">
      <c r="G1769"/>
      <c r="H1769"/>
      <c r="I1769"/>
      <c r="J1769"/>
      <c r="M1769"/>
      <c r="O1769"/>
      <c r="Q1769"/>
      <c r="R1769"/>
      <c r="S1769"/>
      <c r="T1769"/>
      <c r="U1769"/>
      <c r="V1769"/>
      <c r="Z1769"/>
      <c r="AA1769"/>
    </row>
    <row r="1770" spans="7:27" x14ac:dyDescent="0.45">
      <c r="G1770"/>
      <c r="H1770"/>
      <c r="I1770"/>
      <c r="J1770"/>
      <c r="M1770"/>
      <c r="O1770"/>
      <c r="Q1770"/>
      <c r="R1770"/>
      <c r="S1770"/>
      <c r="T1770"/>
      <c r="U1770"/>
      <c r="V1770"/>
      <c r="Z1770"/>
      <c r="AA1770"/>
    </row>
    <row r="1771" spans="7:27" x14ac:dyDescent="0.45">
      <c r="G1771"/>
      <c r="H1771"/>
      <c r="I1771"/>
      <c r="J1771"/>
      <c r="M1771"/>
      <c r="O1771"/>
      <c r="Q1771"/>
      <c r="R1771"/>
      <c r="S1771"/>
      <c r="T1771"/>
      <c r="U1771"/>
      <c r="V1771"/>
      <c r="Z1771"/>
      <c r="AA1771"/>
    </row>
    <row r="1772" spans="7:27" x14ac:dyDescent="0.45">
      <c r="G1772"/>
      <c r="H1772"/>
      <c r="I1772"/>
      <c r="J1772"/>
      <c r="M1772"/>
      <c r="O1772"/>
      <c r="Q1772"/>
      <c r="R1772"/>
      <c r="S1772"/>
      <c r="T1772"/>
      <c r="U1772"/>
      <c r="V1772"/>
      <c r="Z1772"/>
      <c r="AA1772"/>
    </row>
    <row r="1773" spans="7:27" x14ac:dyDescent="0.45">
      <c r="G1773"/>
      <c r="H1773"/>
      <c r="I1773"/>
      <c r="J1773"/>
      <c r="M1773"/>
      <c r="O1773"/>
      <c r="Q1773"/>
      <c r="R1773"/>
      <c r="S1773"/>
      <c r="T1773"/>
      <c r="U1773"/>
      <c r="V1773"/>
      <c r="Z1773"/>
      <c r="AA1773"/>
    </row>
    <row r="1774" spans="7:27" x14ac:dyDescent="0.45">
      <c r="G1774"/>
      <c r="H1774"/>
      <c r="I1774"/>
      <c r="J1774"/>
      <c r="M1774"/>
      <c r="O1774"/>
      <c r="Q1774"/>
      <c r="R1774"/>
      <c r="S1774"/>
      <c r="T1774"/>
      <c r="U1774"/>
      <c r="V1774"/>
      <c r="Z1774"/>
      <c r="AA1774"/>
    </row>
    <row r="1775" spans="7:27" x14ac:dyDescent="0.45">
      <c r="G1775"/>
      <c r="H1775"/>
      <c r="I1775"/>
      <c r="J1775"/>
      <c r="M1775"/>
      <c r="O1775"/>
      <c r="Q1775"/>
      <c r="R1775"/>
      <c r="S1775"/>
      <c r="T1775"/>
      <c r="U1775"/>
      <c r="V1775"/>
      <c r="Z1775"/>
      <c r="AA1775"/>
    </row>
    <row r="1776" spans="7:27" x14ac:dyDescent="0.45">
      <c r="G1776"/>
      <c r="H1776"/>
      <c r="I1776"/>
      <c r="J1776"/>
      <c r="M1776"/>
      <c r="O1776"/>
      <c r="Q1776"/>
      <c r="R1776"/>
      <c r="S1776"/>
      <c r="T1776"/>
      <c r="U1776"/>
      <c r="V1776"/>
      <c r="Z1776"/>
      <c r="AA1776"/>
    </row>
    <row r="1777" spans="7:27" x14ac:dyDescent="0.45">
      <c r="G1777"/>
      <c r="H1777"/>
      <c r="I1777"/>
      <c r="J1777"/>
      <c r="M1777"/>
      <c r="O1777"/>
      <c r="Q1777"/>
      <c r="R1777"/>
      <c r="S1777"/>
      <c r="T1777"/>
      <c r="U1777"/>
      <c r="V1777"/>
      <c r="Z1777"/>
      <c r="AA1777"/>
    </row>
    <row r="1778" spans="7:27" x14ac:dyDescent="0.45">
      <c r="G1778"/>
      <c r="H1778"/>
      <c r="I1778"/>
      <c r="J1778"/>
      <c r="M1778"/>
      <c r="O1778"/>
      <c r="Q1778"/>
      <c r="R1778"/>
      <c r="S1778"/>
      <c r="T1778"/>
      <c r="U1778"/>
      <c r="V1778"/>
      <c r="Z1778"/>
      <c r="AA1778"/>
    </row>
    <row r="1779" spans="7:27" x14ac:dyDescent="0.45">
      <c r="G1779"/>
      <c r="H1779"/>
      <c r="I1779"/>
      <c r="J1779"/>
      <c r="M1779"/>
      <c r="O1779"/>
      <c r="Q1779"/>
      <c r="R1779"/>
      <c r="S1779"/>
      <c r="T1779"/>
      <c r="U1779"/>
      <c r="V1779"/>
      <c r="Z1779"/>
      <c r="AA1779"/>
    </row>
    <row r="1780" spans="7:27" x14ac:dyDescent="0.45">
      <c r="G1780"/>
      <c r="H1780"/>
      <c r="I1780"/>
      <c r="J1780"/>
      <c r="M1780"/>
      <c r="O1780"/>
      <c r="Q1780"/>
      <c r="R1780"/>
      <c r="S1780"/>
      <c r="T1780"/>
      <c r="U1780"/>
      <c r="V1780"/>
      <c r="Z1780"/>
      <c r="AA1780"/>
    </row>
    <row r="1781" spans="7:27" x14ac:dyDescent="0.45">
      <c r="G1781"/>
      <c r="H1781"/>
      <c r="I1781"/>
      <c r="J1781"/>
      <c r="M1781"/>
      <c r="O1781"/>
      <c r="Q1781"/>
      <c r="R1781"/>
      <c r="S1781"/>
      <c r="T1781"/>
      <c r="U1781"/>
      <c r="V1781"/>
      <c r="Z1781"/>
      <c r="AA1781"/>
    </row>
    <row r="1782" spans="7:27" x14ac:dyDescent="0.45">
      <c r="G1782"/>
      <c r="H1782"/>
      <c r="I1782"/>
      <c r="J1782"/>
      <c r="M1782"/>
      <c r="O1782"/>
      <c r="Q1782"/>
      <c r="R1782"/>
      <c r="S1782"/>
      <c r="T1782"/>
      <c r="U1782"/>
      <c r="V1782"/>
      <c r="Z1782"/>
      <c r="AA1782"/>
    </row>
    <row r="1783" spans="7:27" x14ac:dyDescent="0.45">
      <c r="G1783"/>
      <c r="H1783"/>
      <c r="I1783"/>
      <c r="J1783"/>
      <c r="M1783"/>
      <c r="O1783"/>
      <c r="Q1783"/>
      <c r="R1783"/>
      <c r="S1783"/>
      <c r="T1783"/>
      <c r="U1783"/>
      <c r="V1783"/>
      <c r="Z1783"/>
      <c r="AA1783"/>
    </row>
    <row r="1784" spans="7:27" x14ac:dyDescent="0.45">
      <c r="G1784"/>
      <c r="H1784"/>
      <c r="I1784"/>
      <c r="J1784"/>
      <c r="M1784"/>
      <c r="O1784"/>
      <c r="Q1784"/>
      <c r="R1784"/>
      <c r="S1784"/>
      <c r="T1784"/>
      <c r="U1784"/>
      <c r="V1784"/>
      <c r="Z1784"/>
      <c r="AA1784"/>
    </row>
    <row r="1785" spans="7:27" x14ac:dyDescent="0.45">
      <c r="G1785"/>
      <c r="H1785"/>
      <c r="I1785"/>
      <c r="J1785"/>
      <c r="M1785"/>
      <c r="O1785"/>
      <c r="Q1785"/>
      <c r="R1785"/>
      <c r="S1785"/>
      <c r="T1785"/>
      <c r="U1785"/>
      <c r="V1785"/>
      <c r="Z1785"/>
      <c r="AA1785"/>
    </row>
    <row r="1786" spans="7:27" x14ac:dyDescent="0.45">
      <c r="G1786"/>
      <c r="H1786"/>
      <c r="I1786"/>
      <c r="J1786"/>
      <c r="M1786"/>
      <c r="O1786"/>
      <c r="Q1786"/>
      <c r="R1786"/>
      <c r="S1786"/>
      <c r="T1786"/>
      <c r="U1786"/>
      <c r="V1786"/>
      <c r="Z1786"/>
      <c r="AA1786"/>
    </row>
    <row r="1787" spans="7:27" x14ac:dyDescent="0.45">
      <c r="G1787"/>
      <c r="H1787"/>
      <c r="I1787"/>
      <c r="J1787"/>
      <c r="M1787"/>
      <c r="O1787"/>
      <c r="Q1787"/>
      <c r="R1787"/>
      <c r="S1787"/>
      <c r="T1787"/>
      <c r="U1787"/>
      <c r="V1787"/>
      <c r="Z1787"/>
      <c r="AA1787"/>
    </row>
    <row r="1788" spans="7:27" x14ac:dyDescent="0.45">
      <c r="G1788"/>
      <c r="H1788"/>
      <c r="I1788"/>
      <c r="J1788"/>
      <c r="M1788"/>
      <c r="O1788"/>
      <c r="Q1788"/>
      <c r="R1788"/>
      <c r="S1788"/>
      <c r="T1788"/>
      <c r="U1788"/>
      <c r="V1788"/>
      <c r="Z1788"/>
      <c r="AA1788"/>
    </row>
    <row r="1789" spans="7:27" x14ac:dyDescent="0.45">
      <c r="G1789"/>
      <c r="H1789"/>
      <c r="I1789"/>
      <c r="J1789"/>
      <c r="M1789"/>
      <c r="O1789"/>
      <c r="Q1789"/>
      <c r="R1789"/>
      <c r="S1789"/>
      <c r="T1789"/>
      <c r="U1789"/>
      <c r="V1789"/>
      <c r="Z1789"/>
      <c r="AA1789"/>
    </row>
    <row r="1790" spans="7:27" x14ac:dyDescent="0.45">
      <c r="G1790"/>
      <c r="H1790"/>
      <c r="I1790"/>
      <c r="J1790"/>
      <c r="M1790"/>
      <c r="O1790"/>
      <c r="Q1790"/>
      <c r="R1790"/>
      <c r="S1790"/>
      <c r="T1790"/>
      <c r="U1790"/>
      <c r="V1790"/>
      <c r="Z1790"/>
      <c r="AA1790"/>
    </row>
    <row r="1791" spans="7:27" x14ac:dyDescent="0.45">
      <c r="G1791"/>
      <c r="H1791"/>
      <c r="I1791"/>
      <c r="J1791"/>
      <c r="M1791"/>
      <c r="O1791"/>
      <c r="Q1791"/>
      <c r="R1791"/>
      <c r="S1791"/>
      <c r="T1791"/>
      <c r="U1791"/>
      <c r="V1791"/>
      <c r="Z1791"/>
      <c r="AA1791"/>
    </row>
    <row r="1792" spans="7:27" x14ac:dyDescent="0.45">
      <c r="G1792"/>
      <c r="H1792"/>
      <c r="I1792"/>
      <c r="J1792"/>
      <c r="M1792"/>
      <c r="O1792"/>
      <c r="Q1792"/>
      <c r="R1792"/>
      <c r="S1792"/>
      <c r="T1792"/>
      <c r="U1792"/>
      <c r="V1792"/>
      <c r="Z1792"/>
      <c r="AA1792"/>
    </row>
    <row r="1793" spans="7:27" x14ac:dyDescent="0.45">
      <c r="G1793"/>
      <c r="H1793"/>
      <c r="I1793"/>
      <c r="J1793"/>
      <c r="M1793"/>
      <c r="O1793"/>
      <c r="Q1793"/>
      <c r="R1793"/>
      <c r="S1793"/>
      <c r="T1793"/>
      <c r="U1793"/>
      <c r="V1793"/>
      <c r="Z1793"/>
      <c r="AA1793"/>
    </row>
    <row r="1794" spans="7:27" x14ac:dyDescent="0.45">
      <c r="G1794"/>
      <c r="H1794"/>
      <c r="I1794"/>
      <c r="J1794"/>
      <c r="M1794"/>
      <c r="O1794"/>
      <c r="Q1794"/>
      <c r="R1794"/>
      <c r="S1794"/>
      <c r="T1794"/>
      <c r="U1794"/>
      <c r="V1794"/>
      <c r="Z1794"/>
      <c r="AA1794"/>
    </row>
    <row r="1795" spans="7:27" x14ac:dyDescent="0.45">
      <c r="G1795"/>
      <c r="H1795"/>
      <c r="I1795"/>
      <c r="J1795"/>
      <c r="M1795"/>
      <c r="O1795"/>
      <c r="Q1795"/>
      <c r="R1795"/>
      <c r="S1795"/>
      <c r="T1795"/>
      <c r="U1795"/>
      <c r="V1795"/>
      <c r="Z1795"/>
      <c r="AA1795"/>
    </row>
    <row r="1796" spans="7:27" x14ac:dyDescent="0.45">
      <c r="G1796"/>
      <c r="H1796"/>
      <c r="I1796"/>
      <c r="J1796"/>
      <c r="M1796"/>
      <c r="O1796"/>
      <c r="Q1796"/>
      <c r="R1796"/>
      <c r="S1796"/>
      <c r="T1796"/>
      <c r="U1796"/>
      <c r="V1796"/>
      <c r="Z1796"/>
      <c r="AA1796"/>
    </row>
    <row r="1797" spans="7:27" x14ac:dyDescent="0.45">
      <c r="G1797"/>
      <c r="H1797"/>
      <c r="I1797"/>
      <c r="J1797"/>
      <c r="M1797"/>
      <c r="O1797"/>
      <c r="Q1797"/>
      <c r="R1797"/>
      <c r="S1797"/>
      <c r="T1797"/>
      <c r="U1797"/>
      <c r="V1797"/>
      <c r="Z1797"/>
      <c r="AA1797"/>
    </row>
    <row r="1798" spans="7:27" x14ac:dyDescent="0.45">
      <c r="G1798"/>
      <c r="H1798"/>
      <c r="I1798"/>
      <c r="J1798"/>
      <c r="M1798"/>
      <c r="O1798"/>
      <c r="Q1798"/>
      <c r="R1798"/>
      <c r="S1798"/>
      <c r="T1798"/>
      <c r="U1798"/>
      <c r="V1798"/>
      <c r="Z1798"/>
      <c r="AA1798"/>
    </row>
    <row r="1799" spans="7:27" x14ac:dyDescent="0.45">
      <c r="G1799"/>
      <c r="H1799"/>
      <c r="I1799"/>
      <c r="J1799"/>
      <c r="M1799"/>
      <c r="O1799"/>
      <c r="Q1799"/>
      <c r="R1799"/>
      <c r="S1799"/>
      <c r="T1799"/>
      <c r="U1799"/>
      <c r="V1799"/>
      <c r="Z1799"/>
      <c r="AA1799"/>
    </row>
    <row r="1800" spans="7:27" x14ac:dyDescent="0.45">
      <c r="G1800"/>
      <c r="H1800"/>
      <c r="I1800"/>
      <c r="J1800"/>
      <c r="M1800"/>
      <c r="O1800"/>
      <c r="Q1800"/>
      <c r="R1800"/>
      <c r="S1800"/>
      <c r="T1800"/>
      <c r="U1800"/>
      <c r="V1800"/>
      <c r="Z1800"/>
      <c r="AA1800"/>
    </row>
    <row r="1801" spans="7:27" x14ac:dyDescent="0.45">
      <c r="G1801"/>
      <c r="H1801"/>
      <c r="I1801"/>
      <c r="J1801"/>
      <c r="M1801"/>
      <c r="O1801"/>
      <c r="Q1801"/>
      <c r="R1801"/>
      <c r="S1801"/>
      <c r="T1801"/>
      <c r="U1801"/>
      <c r="V1801"/>
      <c r="Z1801"/>
      <c r="AA1801"/>
    </row>
    <row r="1802" spans="7:27" x14ac:dyDescent="0.45">
      <c r="G1802"/>
      <c r="H1802"/>
      <c r="I1802"/>
      <c r="J1802"/>
      <c r="M1802"/>
      <c r="O1802"/>
      <c r="Q1802"/>
      <c r="R1802"/>
      <c r="S1802"/>
      <c r="T1802"/>
      <c r="U1802"/>
      <c r="V1802"/>
      <c r="Z1802"/>
      <c r="AA1802"/>
    </row>
    <row r="1803" spans="7:27" x14ac:dyDescent="0.45">
      <c r="G1803"/>
      <c r="H1803"/>
      <c r="I1803"/>
      <c r="J1803"/>
      <c r="M1803"/>
      <c r="O1803"/>
      <c r="Q1803"/>
      <c r="R1803"/>
      <c r="S1803"/>
      <c r="T1803"/>
      <c r="U1803"/>
      <c r="V1803"/>
      <c r="Z1803"/>
      <c r="AA1803"/>
    </row>
    <row r="1804" spans="7:27" x14ac:dyDescent="0.45">
      <c r="G1804"/>
      <c r="H1804"/>
      <c r="I1804"/>
      <c r="J1804"/>
      <c r="M1804"/>
      <c r="O1804"/>
      <c r="Q1804"/>
      <c r="R1804"/>
      <c r="S1804"/>
      <c r="T1804"/>
      <c r="U1804"/>
      <c r="V1804"/>
      <c r="Z1804"/>
      <c r="AA1804"/>
    </row>
    <row r="1805" spans="7:27" x14ac:dyDescent="0.45">
      <c r="G1805"/>
      <c r="H1805"/>
      <c r="I1805"/>
      <c r="J1805"/>
      <c r="M1805"/>
      <c r="O1805"/>
      <c r="Q1805"/>
      <c r="R1805"/>
      <c r="S1805"/>
      <c r="T1805"/>
      <c r="U1805"/>
      <c r="V1805"/>
      <c r="Z1805"/>
      <c r="AA1805"/>
    </row>
    <row r="1806" spans="7:27" x14ac:dyDescent="0.45">
      <c r="G1806"/>
      <c r="H1806"/>
      <c r="I1806"/>
      <c r="J1806"/>
      <c r="M1806"/>
      <c r="O1806"/>
      <c r="Q1806"/>
      <c r="R1806"/>
      <c r="S1806"/>
      <c r="T1806"/>
      <c r="U1806"/>
      <c r="V1806"/>
      <c r="Z1806"/>
      <c r="AA1806"/>
    </row>
    <row r="1807" spans="7:27" x14ac:dyDescent="0.45">
      <c r="G1807"/>
      <c r="H1807"/>
      <c r="I1807"/>
      <c r="J1807"/>
      <c r="M1807"/>
      <c r="O1807"/>
      <c r="Q1807"/>
      <c r="R1807"/>
      <c r="S1807"/>
      <c r="T1807"/>
      <c r="U1807"/>
      <c r="V1807"/>
      <c r="Z1807"/>
      <c r="AA1807"/>
    </row>
    <row r="1808" spans="7:27" x14ac:dyDescent="0.45">
      <c r="G1808"/>
      <c r="H1808"/>
      <c r="I1808"/>
      <c r="J1808"/>
      <c r="M1808"/>
      <c r="O1808"/>
      <c r="Q1808"/>
      <c r="R1808"/>
      <c r="S1808"/>
      <c r="T1808"/>
      <c r="U1808"/>
      <c r="V1808"/>
      <c r="Z1808"/>
      <c r="AA1808"/>
    </row>
    <row r="1809" spans="7:27" x14ac:dyDescent="0.45">
      <c r="G1809"/>
      <c r="H1809"/>
      <c r="I1809"/>
      <c r="J1809"/>
      <c r="M1809"/>
      <c r="O1809"/>
      <c r="Q1809"/>
      <c r="R1809"/>
      <c r="S1809"/>
      <c r="T1809"/>
      <c r="U1809"/>
      <c r="V1809"/>
      <c r="Z1809"/>
      <c r="AA1809"/>
    </row>
    <row r="1810" spans="7:27" x14ac:dyDescent="0.45">
      <c r="G1810"/>
      <c r="H1810"/>
      <c r="I1810"/>
      <c r="J1810"/>
      <c r="M1810"/>
      <c r="O1810"/>
      <c r="Q1810"/>
      <c r="R1810"/>
      <c r="S1810"/>
      <c r="T1810"/>
      <c r="U1810"/>
      <c r="V1810"/>
      <c r="Z1810"/>
      <c r="AA1810"/>
    </row>
    <row r="1811" spans="7:27" x14ac:dyDescent="0.45">
      <c r="G1811"/>
      <c r="H1811"/>
      <c r="I1811"/>
      <c r="J1811"/>
      <c r="M1811"/>
      <c r="O1811"/>
      <c r="Q1811"/>
      <c r="R1811"/>
      <c r="S1811"/>
      <c r="T1811"/>
      <c r="U1811"/>
      <c r="V1811"/>
      <c r="Z1811"/>
      <c r="AA1811"/>
    </row>
    <row r="1812" spans="7:27" x14ac:dyDescent="0.45">
      <c r="G1812"/>
      <c r="H1812"/>
      <c r="I1812"/>
      <c r="J1812"/>
      <c r="M1812"/>
      <c r="O1812"/>
      <c r="Q1812"/>
      <c r="R1812"/>
      <c r="S1812"/>
      <c r="T1812"/>
      <c r="U1812"/>
      <c r="V1812"/>
      <c r="Z1812"/>
      <c r="AA1812"/>
    </row>
    <row r="1813" spans="7:27" x14ac:dyDescent="0.45">
      <c r="G1813"/>
      <c r="H1813"/>
      <c r="I1813"/>
      <c r="J1813"/>
      <c r="M1813"/>
      <c r="O1813"/>
      <c r="Q1813"/>
      <c r="R1813"/>
      <c r="S1813"/>
      <c r="T1813"/>
      <c r="U1813"/>
      <c r="V1813"/>
      <c r="Z1813"/>
      <c r="AA1813"/>
    </row>
    <row r="1814" spans="7:27" x14ac:dyDescent="0.45">
      <c r="G1814"/>
      <c r="H1814"/>
      <c r="I1814"/>
      <c r="J1814"/>
      <c r="M1814"/>
      <c r="O1814"/>
      <c r="Q1814"/>
      <c r="R1814"/>
      <c r="S1814"/>
      <c r="T1814"/>
      <c r="U1814"/>
      <c r="V1814"/>
      <c r="Z1814"/>
      <c r="AA1814"/>
    </row>
    <row r="1815" spans="7:27" x14ac:dyDescent="0.45">
      <c r="G1815"/>
      <c r="H1815"/>
      <c r="I1815"/>
      <c r="J1815"/>
      <c r="M1815"/>
      <c r="O1815"/>
      <c r="Q1815"/>
      <c r="R1815"/>
      <c r="S1815"/>
      <c r="T1815"/>
      <c r="U1815"/>
      <c r="V1815"/>
      <c r="Z1815"/>
      <c r="AA1815"/>
    </row>
    <row r="1816" spans="7:27" x14ac:dyDescent="0.45">
      <c r="G1816"/>
      <c r="H1816"/>
      <c r="I1816"/>
      <c r="J1816"/>
      <c r="M1816"/>
      <c r="O1816"/>
      <c r="Q1816"/>
      <c r="R1816"/>
      <c r="S1816"/>
      <c r="T1816"/>
      <c r="U1816"/>
      <c r="V1816"/>
      <c r="Z1816"/>
      <c r="AA1816"/>
    </row>
    <row r="1817" spans="7:27" x14ac:dyDescent="0.45">
      <c r="G1817"/>
      <c r="H1817"/>
      <c r="I1817"/>
      <c r="J1817"/>
      <c r="M1817"/>
      <c r="O1817"/>
      <c r="Q1817"/>
      <c r="R1817"/>
      <c r="S1817"/>
      <c r="T1817"/>
      <c r="U1817"/>
      <c r="V1817"/>
      <c r="Z1817"/>
      <c r="AA1817"/>
    </row>
    <row r="1818" spans="7:27" x14ac:dyDescent="0.45">
      <c r="G1818"/>
      <c r="H1818"/>
      <c r="I1818"/>
      <c r="J1818"/>
      <c r="M1818"/>
      <c r="O1818"/>
      <c r="Q1818"/>
      <c r="R1818"/>
      <c r="S1818"/>
      <c r="T1818"/>
      <c r="U1818"/>
      <c r="V1818"/>
      <c r="Z1818"/>
      <c r="AA1818"/>
    </row>
    <row r="1819" spans="7:27" x14ac:dyDescent="0.45">
      <c r="G1819"/>
      <c r="H1819"/>
      <c r="I1819"/>
      <c r="J1819"/>
      <c r="M1819"/>
      <c r="O1819"/>
      <c r="Q1819"/>
      <c r="R1819"/>
      <c r="S1819"/>
      <c r="T1819"/>
      <c r="U1819"/>
      <c r="V1819"/>
      <c r="Z1819"/>
      <c r="AA1819"/>
    </row>
    <row r="1820" spans="7:27" x14ac:dyDescent="0.45">
      <c r="G1820"/>
      <c r="H1820"/>
      <c r="I1820"/>
      <c r="J1820"/>
      <c r="M1820"/>
      <c r="O1820"/>
      <c r="Q1820"/>
      <c r="R1820"/>
      <c r="S1820"/>
      <c r="T1820"/>
      <c r="U1820"/>
      <c r="V1820"/>
      <c r="Z1820"/>
      <c r="AA1820"/>
    </row>
    <row r="1821" spans="7:27" x14ac:dyDescent="0.45">
      <c r="G1821"/>
      <c r="H1821"/>
      <c r="I1821"/>
      <c r="J1821"/>
      <c r="M1821"/>
      <c r="O1821"/>
      <c r="Q1821"/>
      <c r="R1821"/>
      <c r="S1821"/>
      <c r="T1821"/>
      <c r="U1821"/>
      <c r="V1821"/>
      <c r="Z1821"/>
      <c r="AA1821"/>
    </row>
    <row r="1822" spans="7:27" x14ac:dyDescent="0.45">
      <c r="G1822"/>
      <c r="H1822"/>
      <c r="I1822"/>
      <c r="J1822"/>
      <c r="M1822"/>
      <c r="O1822"/>
      <c r="Q1822"/>
      <c r="R1822"/>
      <c r="S1822"/>
      <c r="T1822"/>
      <c r="U1822"/>
      <c r="V1822"/>
      <c r="Z1822"/>
      <c r="AA1822"/>
    </row>
    <row r="1823" spans="7:27" x14ac:dyDescent="0.45">
      <c r="G1823"/>
      <c r="H1823"/>
      <c r="I1823"/>
      <c r="J1823"/>
      <c r="M1823"/>
      <c r="O1823"/>
      <c r="Q1823"/>
      <c r="R1823"/>
      <c r="S1823"/>
      <c r="T1823"/>
      <c r="U1823"/>
      <c r="V1823"/>
      <c r="Z1823"/>
      <c r="AA1823"/>
    </row>
    <row r="1824" spans="7:27" x14ac:dyDescent="0.45">
      <c r="G1824"/>
      <c r="H1824"/>
      <c r="I1824"/>
      <c r="J1824"/>
      <c r="M1824"/>
      <c r="O1824"/>
      <c r="Q1824"/>
      <c r="R1824"/>
      <c r="S1824"/>
      <c r="T1824"/>
      <c r="U1824"/>
      <c r="V1824"/>
      <c r="Z1824"/>
      <c r="AA1824"/>
    </row>
    <row r="1825" spans="7:27" x14ac:dyDescent="0.45">
      <c r="G1825"/>
      <c r="H1825"/>
      <c r="I1825"/>
      <c r="J1825"/>
      <c r="M1825"/>
      <c r="O1825"/>
      <c r="Q1825"/>
      <c r="R1825"/>
      <c r="S1825"/>
      <c r="T1825"/>
      <c r="U1825"/>
      <c r="V1825"/>
      <c r="Z1825"/>
      <c r="AA1825"/>
    </row>
    <row r="1826" spans="7:27" x14ac:dyDescent="0.45">
      <c r="G1826"/>
      <c r="H1826"/>
      <c r="I1826"/>
      <c r="J1826"/>
      <c r="M1826"/>
      <c r="O1826"/>
      <c r="Q1826"/>
      <c r="R1826"/>
      <c r="S1826"/>
      <c r="T1826"/>
      <c r="U1826"/>
      <c r="V1826"/>
      <c r="Z1826"/>
      <c r="AA1826"/>
    </row>
    <row r="1827" spans="7:27" x14ac:dyDescent="0.45">
      <c r="G1827"/>
      <c r="H1827"/>
      <c r="I1827"/>
      <c r="J1827"/>
      <c r="M1827"/>
      <c r="O1827"/>
      <c r="Q1827"/>
      <c r="R1827"/>
      <c r="S1827"/>
      <c r="T1827"/>
      <c r="U1827"/>
      <c r="V1827"/>
      <c r="Z1827"/>
      <c r="AA1827"/>
    </row>
    <row r="1828" spans="7:27" x14ac:dyDescent="0.45">
      <c r="G1828"/>
      <c r="H1828"/>
      <c r="I1828"/>
      <c r="J1828"/>
      <c r="M1828"/>
      <c r="O1828"/>
      <c r="Q1828"/>
      <c r="R1828"/>
      <c r="S1828"/>
      <c r="T1828"/>
      <c r="U1828"/>
      <c r="V1828"/>
      <c r="Z1828"/>
      <c r="AA1828"/>
    </row>
    <row r="1829" spans="7:27" x14ac:dyDescent="0.45">
      <c r="G1829"/>
      <c r="H1829"/>
      <c r="I1829"/>
      <c r="J1829"/>
      <c r="M1829"/>
      <c r="O1829"/>
      <c r="Q1829"/>
      <c r="R1829"/>
      <c r="S1829"/>
      <c r="T1829"/>
      <c r="U1829"/>
      <c r="V1829"/>
      <c r="Z1829"/>
      <c r="AA1829"/>
    </row>
    <row r="1830" spans="7:27" x14ac:dyDescent="0.45">
      <c r="G1830"/>
      <c r="H1830"/>
      <c r="I1830"/>
      <c r="J1830"/>
      <c r="M1830"/>
      <c r="O1830"/>
      <c r="Q1830"/>
      <c r="R1830"/>
      <c r="S1830"/>
      <c r="T1830"/>
      <c r="U1830"/>
      <c r="V1830"/>
      <c r="Z1830"/>
      <c r="AA1830"/>
    </row>
    <row r="1831" spans="7:27" x14ac:dyDescent="0.45">
      <c r="G1831"/>
      <c r="H1831"/>
      <c r="I1831"/>
      <c r="J1831"/>
      <c r="M1831"/>
      <c r="O1831"/>
      <c r="Q1831"/>
      <c r="R1831"/>
      <c r="S1831"/>
      <c r="T1831"/>
      <c r="U1831"/>
      <c r="V1831"/>
      <c r="Z1831"/>
      <c r="AA1831"/>
    </row>
    <row r="1832" spans="7:27" x14ac:dyDescent="0.45">
      <c r="G1832"/>
      <c r="H1832"/>
      <c r="I1832"/>
      <c r="J1832"/>
      <c r="M1832"/>
      <c r="O1832"/>
      <c r="Q1832"/>
      <c r="R1832"/>
      <c r="S1832"/>
      <c r="T1832"/>
      <c r="U1832"/>
      <c r="V1832"/>
      <c r="Z1832"/>
      <c r="AA1832"/>
    </row>
    <row r="1833" spans="7:27" x14ac:dyDescent="0.45">
      <c r="G1833"/>
      <c r="H1833"/>
      <c r="I1833"/>
      <c r="J1833"/>
      <c r="M1833"/>
      <c r="O1833"/>
      <c r="Q1833"/>
      <c r="R1833"/>
      <c r="S1833"/>
      <c r="T1833"/>
      <c r="U1833"/>
      <c r="V1833"/>
      <c r="Z1833"/>
      <c r="AA1833"/>
    </row>
    <row r="1834" spans="7:27" x14ac:dyDescent="0.45">
      <c r="G1834"/>
      <c r="H1834"/>
      <c r="I1834"/>
      <c r="J1834"/>
      <c r="M1834"/>
      <c r="O1834"/>
      <c r="Q1834"/>
      <c r="R1834"/>
      <c r="S1834"/>
      <c r="T1834"/>
      <c r="U1834"/>
      <c r="V1834"/>
      <c r="Z1834"/>
      <c r="AA1834"/>
    </row>
    <row r="1835" spans="7:27" x14ac:dyDescent="0.45">
      <c r="G1835"/>
      <c r="H1835"/>
      <c r="I1835"/>
      <c r="J1835"/>
      <c r="M1835"/>
      <c r="O1835"/>
      <c r="Q1835"/>
      <c r="R1835"/>
      <c r="S1835"/>
      <c r="T1835"/>
      <c r="U1835"/>
      <c r="V1835"/>
      <c r="Z1835"/>
      <c r="AA1835"/>
    </row>
    <row r="1836" spans="7:27" x14ac:dyDescent="0.45">
      <c r="G1836"/>
      <c r="H1836"/>
      <c r="I1836"/>
      <c r="J1836"/>
      <c r="M1836"/>
      <c r="O1836"/>
      <c r="Q1836"/>
      <c r="R1836"/>
      <c r="S1836"/>
      <c r="T1836"/>
      <c r="U1836"/>
      <c r="V1836"/>
      <c r="Z1836"/>
      <c r="AA1836"/>
    </row>
    <row r="1837" spans="7:27" x14ac:dyDescent="0.45">
      <c r="G1837"/>
      <c r="H1837"/>
      <c r="I1837"/>
      <c r="J1837"/>
      <c r="M1837"/>
      <c r="O1837"/>
      <c r="Q1837"/>
      <c r="R1837"/>
      <c r="S1837"/>
      <c r="T1837"/>
      <c r="U1837"/>
      <c r="V1837"/>
      <c r="Z1837"/>
      <c r="AA1837"/>
    </row>
    <row r="1838" spans="7:27" x14ac:dyDescent="0.45">
      <c r="G1838"/>
      <c r="H1838"/>
      <c r="I1838"/>
      <c r="J1838"/>
      <c r="M1838"/>
      <c r="O1838"/>
      <c r="Q1838"/>
      <c r="R1838"/>
      <c r="S1838"/>
      <c r="T1838"/>
      <c r="U1838"/>
      <c r="V1838"/>
      <c r="Z1838"/>
      <c r="AA1838"/>
    </row>
    <row r="1839" spans="7:27" x14ac:dyDescent="0.45">
      <c r="G1839"/>
      <c r="H1839"/>
      <c r="I1839"/>
      <c r="J1839"/>
      <c r="M1839"/>
      <c r="O1839"/>
      <c r="Q1839"/>
      <c r="R1839"/>
      <c r="S1839"/>
      <c r="T1839"/>
      <c r="U1839"/>
      <c r="V1839"/>
      <c r="Z1839"/>
      <c r="AA1839"/>
    </row>
    <row r="1840" spans="7:27" x14ac:dyDescent="0.45">
      <c r="G1840"/>
      <c r="H1840"/>
      <c r="I1840"/>
      <c r="J1840"/>
      <c r="M1840"/>
      <c r="O1840"/>
      <c r="Q1840"/>
      <c r="R1840"/>
      <c r="S1840"/>
      <c r="T1840"/>
      <c r="U1840"/>
      <c r="V1840"/>
      <c r="Z1840"/>
      <c r="AA1840"/>
    </row>
    <row r="1841" spans="7:27" x14ac:dyDescent="0.45">
      <c r="G1841"/>
      <c r="H1841"/>
      <c r="I1841"/>
      <c r="J1841"/>
      <c r="M1841"/>
      <c r="O1841"/>
      <c r="Q1841"/>
      <c r="R1841"/>
      <c r="S1841"/>
      <c r="T1841"/>
      <c r="U1841"/>
      <c r="V1841"/>
      <c r="Z1841"/>
      <c r="AA1841"/>
    </row>
    <row r="1842" spans="7:27" x14ac:dyDescent="0.45">
      <c r="G1842"/>
      <c r="H1842"/>
      <c r="I1842"/>
      <c r="J1842"/>
      <c r="M1842"/>
      <c r="O1842"/>
      <c r="Q1842"/>
      <c r="R1842"/>
      <c r="S1842"/>
      <c r="T1842"/>
      <c r="U1842"/>
      <c r="V1842"/>
      <c r="Z1842"/>
      <c r="AA1842"/>
    </row>
    <row r="1843" spans="7:27" x14ac:dyDescent="0.45">
      <c r="G1843"/>
      <c r="H1843"/>
      <c r="I1843"/>
      <c r="J1843"/>
      <c r="M1843"/>
      <c r="O1843"/>
      <c r="Q1843"/>
      <c r="R1843"/>
      <c r="S1843"/>
      <c r="T1843"/>
      <c r="U1843"/>
      <c r="V1843"/>
      <c r="Z1843"/>
      <c r="AA1843"/>
    </row>
    <row r="1844" spans="7:27" x14ac:dyDescent="0.45">
      <c r="G1844"/>
      <c r="H1844"/>
      <c r="I1844"/>
      <c r="J1844"/>
      <c r="M1844"/>
      <c r="O1844"/>
      <c r="Q1844"/>
      <c r="R1844"/>
      <c r="S1844"/>
      <c r="T1844"/>
      <c r="U1844"/>
      <c r="V1844"/>
      <c r="Z1844"/>
      <c r="AA1844"/>
    </row>
    <row r="1845" spans="7:27" x14ac:dyDescent="0.45">
      <c r="G1845"/>
      <c r="H1845"/>
      <c r="I1845"/>
      <c r="J1845"/>
      <c r="M1845"/>
      <c r="O1845"/>
      <c r="Q1845"/>
      <c r="R1845"/>
      <c r="S1845"/>
      <c r="T1845"/>
      <c r="U1845"/>
      <c r="V1845"/>
      <c r="Z1845"/>
      <c r="AA1845"/>
    </row>
    <row r="1846" spans="7:27" x14ac:dyDescent="0.45">
      <c r="G1846"/>
      <c r="H1846"/>
      <c r="I1846"/>
      <c r="J1846"/>
      <c r="M1846"/>
      <c r="O1846"/>
      <c r="Q1846"/>
      <c r="R1846"/>
      <c r="S1846"/>
      <c r="T1846"/>
      <c r="U1846"/>
      <c r="V1846"/>
      <c r="Z1846"/>
      <c r="AA1846"/>
    </row>
    <row r="1847" spans="7:27" x14ac:dyDescent="0.45">
      <c r="G1847"/>
      <c r="H1847"/>
      <c r="I1847"/>
      <c r="J1847"/>
      <c r="M1847"/>
      <c r="O1847"/>
      <c r="Q1847"/>
      <c r="R1847"/>
      <c r="S1847"/>
      <c r="T1847"/>
      <c r="U1847"/>
      <c r="V1847"/>
      <c r="Z1847"/>
      <c r="AA1847"/>
    </row>
    <row r="1848" spans="7:27" x14ac:dyDescent="0.45">
      <c r="G1848"/>
      <c r="H1848"/>
      <c r="I1848"/>
      <c r="J1848"/>
      <c r="M1848"/>
      <c r="O1848"/>
      <c r="Q1848"/>
      <c r="R1848"/>
      <c r="S1848"/>
      <c r="T1848"/>
      <c r="U1848"/>
      <c r="V1848"/>
      <c r="Z1848"/>
      <c r="AA1848"/>
    </row>
    <row r="1849" spans="7:27" x14ac:dyDescent="0.45">
      <c r="G1849"/>
      <c r="H1849"/>
      <c r="I1849"/>
      <c r="J1849"/>
      <c r="M1849"/>
      <c r="O1849"/>
      <c r="Q1849"/>
      <c r="R1849"/>
      <c r="S1849"/>
      <c r="T1849"/>
      <c r="U1849"/>
      <c r="V1849"/>
      <c r="Z1849"/>
      <c r="AA1849"/>
    </row>
    <row r="1850" spans="7:27" x14ac:dyDescent="0.45">
      <c r="G1850"/>
      <c r="H1850"/>
      <c r="I1850"/>
      <c r="J1850"/>
      <c r="M1850"/>
      <c r="O1850"/>
      <c r="Q1850"/>
      <c r="R1850"/>
      <c r="S1850"/>
      <c r="T1850"/>
      <c r="U1850"/>
      <c r="V1850"/>
      <c r="Z1850"/>
      <c r="AA1850"/>
    </row>
    <row r="1851" spans="7:27" x14ac:dyDescent="0.45">
      <c r="G1851"/>
      <c r="H1851"/>
      <c r="I1851"/>
      <c r="J1851"/>
      <c r="M1851"/>
      <c r="O1851"/>
      <c r="Q1851"/>
      <c r="R1851"/>
      <c r="S1851"/>
      <c r="T1851"/>
      <c r="U1851"/>
      <c r="V1851"/>
      <c r="Z1851"/>
      <c r="AA1851"/>
    </row>
    <row r="1852" spans="7:27" x14ac:dyDescent="0.45">
      <c r="G1852"/>
      <c r="H1852"/>
      <c r="I1852"/>
      <c r="J1852"/>
      <c r="M1852"/>
      <c r="O1852"/>
      <c r="Q1852"/>
      <c r="R1852"/>
      <c r="S1852"/>
      <c r="T1852"/>
      <c r="U1852"/>
      <c r="V1852"/>
      <c r="Z1852"/>
      <c r="AA1852"/>
    </row>
    <row r="1853" spans="7:27" x14ac:dyDescent="0.45">
      <c r="G1853"/>
      <c r="H1853"/>
      <c r="I1853"/>
      <c r="J1853"/>
      <c r="M1853"/>
      <c r="O1853"/>
      <c r="Q1853"/>
      <c r="R1853"/>
      <c r="S1853"/>
      <c r="T1853"/>
      <c r="U1853"/>
      <c r="V1853"/>
      <c r="Z1853"/>
      <c r="AA1853"/>
    </row>
    <row r="1854" spans="7:27" x14ac:dyDescent="0.45">
      <c r="G1854"/>
      <c r="H1854"/>
      <c r="I1854"/>
      <c r="J1854"/>
      <c r="M1854"/>
      <c r="O1854"/>
      <c r="Q1854"/>
      <c r="R1854"/>
      <c r="S1854"/>
      <c r="T1854"/>
      <c r="U1854"/>
      <c r="V1854"/>
      <c r="Z1854"/>
      <c r="AA1854"/>
    </row>
    <row r="1855" spans="7:27" x14ac:dyDescent="0.45">
      <c r="G1855"/>
      <c r="H1855"/>
      <c r="I1855"/>
      <c r="J1855"/>
      <c r="M1855"/>
      <c r="O1855"/>
      <c r="Q1855"/>
      <c r="R1855"/>
      <c r="S1855"/>
      <c r="T1855"/>
      <c r="U1855"/>
      <c r="V1855"/>
      <c r="Z1855"/>
      <c r="AA1855"/>
    </row>
    <row r="1856" spans="7:27" x14ac:dyDescent="0.45">
      <c r="G1856"/>
      <c r="H1856"/>
      <c r="I1856"/>
      <c r="J1856"/>
      <c r="M1856"/>
      <c r="O1856"/>
      <c r="Q1856"/>
      <c r="R1856"/>
      <c r="S1856"/>
      <c r="T1856"/>
      <c r="U1856"/>
      <c r="V1856"/>
      <c r="Z1856"/>
      <c r="AA1856"/>
    </row>
    <row r="1857" spans="7:27" x14ac:dyDescent="0.45">
      <c r="G1857"/>
      <c r="H1857"/>
      <c r="I1857"/>
      <c r="J1857"/>
      <c r="M1857"/>
      <c r="O1857"/>
      <c r="Q1857"/>
      <c r="R1857"/>
      <c r="S1857"/>
      <c r="T1857"/>
      <c r="U1857"/>
      <c r="V1857"/>
      <c r="Z1857"/>
      <c r="AA1857"/>
    </row>
    <row r="1858" spans="7:27" x14ac:dyDescent="0.45">
      <c r="G1858"/>
      <c r="H1858"/>
      <c r="I1858"/>
      <c r="J1858"/>
      <c r="M1858"/>
      <c r="O1858"/>
      <c r="Q1858"/>
      <c r="R1858"/>
      <c r="S1858"/>
      <c r="T1858"/>
      <c r="U1858"/>
      <c r="V1858"/>
      <c r="Z1858"/>
      <c r="AA1858"/>
    </row>
    <row r="1859" spans="7:27" x14ac:dyDescent="0.45">
      <c r="G1859"/>
      <c r="H1859"/>
      <c r="I1859"/>
      <c r="J1859"/>
      <c r="M1859"/>
      <c r="O1859"/>
      <c r="Q1859"/>
      <c r="R1859"/>
      <c r="S1859"/>
      <c r="T1859"/>
      <c r="U1859"/>
      <c r="V1859"/>
      <c r="Z1859"/>
      <c r="AA1859"/>
    </row>
    <row r="1860" spans="7:27" x14ac:dyDescent="0.45">
      <c r="G1860"/>
      <c r="H1860"/>
      <c r="I1860"/>
      <c r="J1860"/>
      <c r="M1860"/>
      <c r="O1860"/>
      <c r="Q1860"/>
      <c r="R1860"/>
      <c r="S1860"/>
      <c r="T1860"/>
      <c r="U1860"/>
      <c r="V1860"/>
      <c r="Z1860"/>
      <c r="AA1860"/>
    </row>
    <row r="1861" spans="7:27" x14ac:dyDescent="0.45">
      <c r="G1861"/>
      <c r="H1861"/>
      <c r="I1861"/>
      <c r="J1861"/>
      <c r="M1861"/>
      <c r="O1861"/>
      <c r="Q1861"/>
      <c r="R1861"/>
      <c r="S1861"/>
      <c r="T1861"/>
      <c r="U1861"/>
      <c r="V1861"/>
      <c r="Z1861"/>
      <c r="AA1861"/>
    </row>
    <row r="1862" spans="7:27" x14ac:dyDescent="0.45">
      <c r="G1862"/>
      <c r="H1862"/>
      <c r="I1862"/>
      <c r="J1862"/>
      <c r="M1862"/>
      <c r="O1862"/>
      <c r="Q1862"/>
      <c r="R1862"/>
      <c r="S1862"/>
      <c r="T1862"/>
      <c r="U1862"/>
      <c r="V1862"/>
      <c r="Z1862"/>
      <c r="AA1862"/>
    </row>
    <row r="1863" spans="7:27" x14ac:dyDescent="0.45">
      <c r="G1863"/>
      <c r="H1863"/>
      <c r="I1863"/>
      <c r="J1863"/>
      <c r="M1863"/>
      <c r="O1863"/>
      <c r="Q1863"/>
      <c r="R1863"/>
      <c r="S1863"/>
      <c r="T1863"/>
      <c r="U1863"/>
      <c r="V1863"/>
      <c r="Z1863"/>
      <c r="AA1863"/>
    </row>
    <row r="1864" spans="7:27" x14ac:dyDescent="0.45">
      <c r="G1864"/>
      <c r="H1864"/>
      <c r="I1864"/>
      <c r="J1864"/>
      <c r="M1864"/>
      <c r="O1864"/>
      <c r="Q1864"/>
      <c r="R1864"/>
      <c r="S1864"/>
      <c r="T1864"/>
      <c r="U1864"/>
      <c r="V1864"/>
      <c r="Z1864"/>
      <c r="AA1864"/>
    </row>
    <row r="1865" spans="7:27" x14ac:dyDescent="0.45">
      <c r="G1865"/>
      <c r="H1865"/>
      <c r="I1865"/>
      <c r="J1865"/>
      <c r="M1865"/>
      <c r="O1865"/>
      <c r="Q1865"/>
      <c r="R1865"/>
      <c r="S1865"/>
      <c r="T1865"/>
      <c r="U1865"/>
      <c r="V1865"/>
      <c r="Z1865"/>
      <c r="AA1865"/>
    </row>
    <row r="1866" spans="7:27" x14ac:dyDescent="0.45">
      <c r="G1866"/>
      <c r="H1866"/>
      <c r="I1866"/>
      <c r="J1866"/>
      <c r="M1866"/>
      <c r="O1866"/>
      <c r="Q1866"/>
      <c r="R1866"/>
      <c r="S1866"/>
      <c r="T1866"/>
      <c r="U1866"/>
      <c r="V1866"/>
      <c r="Z1866"/>
      <c r="AA1866"/>
    </row>
    <row r="1867" spans="7:27" x14ac:dyDescent="0.45">
      <c r="G1867"/>
      <c r="H1867"/>
      <c r="I1867"/>
      <c r="J1867"/>
      <c r="M1867"/>
      <c r="O1867"/>
      <c r="Q1867"/>
      <c r="R1867"/>
      <c r="S1867"/>
      <c r="T1867"/>
      <c r="U1867"/>
      <c r="V1867"/>
      <c r="Z1867"/>
      <c r="AA1867"/>
    </row>
    <row r="1868" spans="7:27" x14ac:dyDescent="0.45">
      <c r="G1868"/>
      <c r="H1868"/>
      <c r="I1868"/>
      <c r="J1868"/>
      <c r="M1868"/>
      <c r="O1868"/>
      <c r="Q1868"/>
      <c r="R1868"/>
      <c r="S1868"/>
      <c r="T1868"/>
      <c r="U1868"/>
      <c r="V1868"/>
      <c r="Z1868"/>
      <c r="AA1868"/>
    </row>
    <row r="1869" spans="7:27" x14ac:dyDescent="0.45">
      <c r="G1869"/>
      <c r="H1869"/>
      <c r="I1869"/>
      <c r="J1869"/>
      <c r="M1869"/>
      <c r="O1869"/>
      <c r="Q1869"/>
      <c r="R1869"/>
      <c r="S1869"/>
      <c r="T1869"/>
      <c r="U1869"/>
      <c r="V1869"/>
      <c r="Z1869"/>
      <c r="AA1869"/>
    </row>
    <row r="1870" spans="7:27" x14ac:dyDescent="0.45">
      <c r="G1870"/>
      <c r="H1870"/>
      <c r="I1870"/>
      <c r="J1870"/>
      <c r="M1870"/>
      <c r="O1870"/>
      <c r="Q1870"/>
      <c r="R1870"/>
      <c r="S1870"/>
      <c r="T1870"/>
      <c r="U1870"/>
      <c r="V1870"/>
      <c r="Z1870"/>
      <c r="AA1870"/>
    </row>
    <row r="1871" spans="7:27" x14ac:dyDescent="0.45">
      <c r="G1871"/>
      <c r="H1871"/>
      <c r="I1871"/>
      <c r="J1871"/>
      <c r="M1871"/>
      <c r="O1871"/>
      <c r="Q1871"/>
      <c r="R1871"/>
      <c r="S1871"/>
      <c r="T1871"/>
      <c r="U1871"/>
      <c r="V1871"/>
      <c r="Z1871"/>
      <c r="AA1871"/>
    </row>
    <row r="1872" spans="7:27" x14ac:dyDescent="0.45">
      <c r="G1872"/>
      <c r="H1872"/>
      <c r="I1872"/>
      <c r="J1872"/>
      <c r="M1872"/>
      <c r="O1872"/>
      <c r="Q1872"/>
      <c r="R1872"/>
      <c r="S1872"/>
      <c r="T1872"/>
      <c r="U1872"/>
      <c r="V1872"/>
      <c r="Z1872"/>
      <c r="AA1872"/>
    </row>
    <row r="1873" spans="7:27" x14ac:dyDescent="0.45">
      <c r="G1873"/>
      <c r="H1873"/>
      <c r="I1873"/>
      <c r="J1873"/>
      <c r="M1873"/>
      <c r="O1873"/>
      <c r="Q1873"/>
      <c r="R1873"/>
      <c r="S1873"/>
      <c r="T1873"/>
      <c r="U1873"/>
      <c r="V1873"/>
      <c r="Z1873"/>
      <c r="AA1873"/>
    </row>
    <row r="1874" spans="7:27" x14ac:dyDescent="0.45">
      <c r="G1874"/>
      <c r="H1874"/>
      <c r="I1874"/>
      <c r="J1874"/>
      <c r="M1874"/>
      <c r="O1874"/>
      <c r="Q1874"/>
      <c r="R1874"/>
      <c r="S1874"/>
      <c r="T1874"/>
      <c r="U1874"/>
      <c r="V1874"/>
      <c r="Z1874"/>
      <c r="AA1874"/>
    </row>
    <row r="1875" spans="7:27" x14ac:dyDescent="0.45">
      <c r="G1875"/>
      <c r="H1875"/>
      <c r="I1875"/>
      <c r="J1875"/>
      <c r="M1875"/>
      <c r="O1875"/>
      <c r="Q1875"/>
      <c r="R1875"/>
      <c r="S1875"/>
      <c r="T1875"/>
      <c r="U1875"/>
      <c r="V1875"/>
      <c r="Z1875"/>
      <c r="AA1875"/>
    </row>
    <row r="1876" spans="7:27" x14ac:dyDescent="0.45">
      <c r="G1876"/>
      <c r="H1876"/>
      <c r="I1876"/>
      <c r="J1876"/>
      <c r="M1876"/>
      <c r="O1876"/>
      <c r="Q1876"/>
      <c r="R1876"/>
      <c r="S1876"/>
      <c r="T1876"/>
      <c r="U1876"/>
      <c r="V1876"/>
      <c r="Z1876"/>
      <c r="AA1876"/>
    </row>
    <row r="1877" spans="7:27" x14ac:dyDescent="0.45">
      <c r="G1877"/>
      <c r="H1877"/>
      <c r="I1877"/>
      <c r="J1877"/>
      <c r="M1877"/>
      <c r="O1877"/>
      <c r="Q1877"/>
      <c r="R1877"/>
      <c r="S1877"/>
      <c r="T1877"/>
      <c r="U1877"/>
      <c r="V1877"/>
      <c r="Z1877"/>
      <c r="AA1877"/>
    </row>
    <row r="1878" spans="7:27" x14ac:dyDescent="0.45">
      <c r="G1878"/>
      <c r="H1878"/>
      <c r="I1878"/>
      <c r="J1878"/>
      <c r="M1878"/>
      <c r="O1878"/>
      <c r="Q1878"/>
      <c r="R1878"/>
      <c r="S1878"/>
      <c r="T1878"/>
      <c r="U1878"/>
      <c r="V1878"/>
      <c r="Z1878"/>
      <c r="AA1878"/>
    </row>
    <row r="1879" spans="7:27" x14ac:dyDescent="0.45">
      <c r="G1879"/>
      <c r="H1879"/>
      <c r="I1879"/>
      <c r="J1879"/>
      <c r="M1879"/>
      <c r="O1879"/>
      <c r="Q1879"/>
      <c r="R1879"/>
      <c r="S1879"/>
      <c r="T1879"/>
      <c r="U1879"/>
      <c r="V1879"/>
      <c r="Z1879"/>
      <c r="AA1879"/>
    </row>
    <row r="1880" spans="7:27" x14ac:dyDescent="0.45">
      <c r="G1880"/>
      <c r="H1880"/>
      <c r="I1880"/>
      <c r="J1880"/>
      <c r="M1880"/>
      <c r="O1880"/>
      <c r="Q1880"/>
      <c r="R1880"/>
      <c r="S1880"/>
      <c r="T1880"/>
      <c r="U1880"/>
      <c r="V1880"/>
      <c r="Z1880"/>
      <c r="AA1880"/>
    </row>
    <row r="1881" spans="7:27" x14ac:dyDescent="0.45">
      <c r="G1881"/>
      <c r="H1881"/>
      <c r="I1881"/>
      <c r="J1881"/>
      <c r="M1881"/>
      <c r="O1881"/>
      <c r="Q1881"/>
      <c r="R1881"/>
      <c r="S1881"/>
      <c r="T1881"/>
      <c r="U1881"/>
      <c r="V1881"/>
      <c r="Z1881"/>
      <c r="AA1881"/>
    </row>
    <row r="1882" spans="7:27" x14ac:dyDescent="0.45">
      <c r="G1882"/>
      <c r="H1882"/>
      <c r="I1882"/>
      <c r="J1882"/>
      <c r="M1882"/>
      <c r="O1882"/>
      <c r="Q1882"/>
      <c r="R1882"/>
      <c r="S1882"/>
      <c r="T1882"/>
      <c r="U1882"/>
      <c r="V1882"/>
      <c r="Z1882"/>
      <c r="AA1882"/>
    </row>
    <row r="1883" spans="7:27" x14ac:dyDescent="0.45">
      <c r="G1883"/>
      <c r="H1883"/>
      <c r="I1883"/>
      <c r="J1883"/>
      <c r="M1883"/>
      <c r="O1883"/>
      <c r="Q1883"/>
      <c r="R1883"/>
      <c r="S1883"/>
      <c r="T1883"/>
      <c r="U1883"/>
      <c r="V1883"/>
      <c r="Z1883"/>
      <c r="AA1883"/>
    </row>
    <row r="1884" spans="7:27" x14ac:dyDescent="0.45">
      <c r="G1884"/>
      <c r="H1884"/>
      <c r="I1884"/>
      <c r="J1884"/>
      <c r="M1884"/>
      <c r="O1884"/>
      <c r="Q1884"/>
      <c r="R1884"/>
      <c r="S1884"/>
      <c r="T1884"/>
      <c r="U1884"/>
      <c r="V1884"/>
      <c r="Z1884"/>
      <c r="AA1884"/>
    </row>
    <row r="1885" spans="7:27" x14ac:dyDescent="0.45">
      <c r="G1885"/>
      <c r="H1885"/>
      <c r="I1885"/>
      <c r="J1885"/>
      <c r="M1885"/>
      <c r="O1885"/>
      <c r="Q1885"/>
      <c r="R1885"/>
      <c r="S1885"/>
      <c r="T1885"/>
      <c r="U1885"/>
      <c r="V1885"/>
      <c r="Z1885"/>
      <c r="AA1885"/>
    </row>
    <row r="1886" spans="7:27" x14ac:dyDescent="0.45">
      <c r="G1886"/>
      <c r="H1886"/>
      <c r="I1886"/>
      <c r="J1886"/>
      <c r="M1886"/>
      <c r="O1886"/>
      <c r="Q1886"/>
      <c r="R1886"/>
      <c r="S1886"/>
      <c r="T1886"/>
      <c r="U1886"/>
      <c r="V1886"/>
      <c r="Z1886"/>
      <c r="AA1886"/>
    </row>
    <row r="1887" spans="7:27" x14ac:dyDescent="0.45">
      <c r="G1887"/>
      <c r="H1887"/>
      <c r="I1887"/>
      <c r="J1887"/>
      <c r="M1887"/>
      <c r="O1887"/>
      <c r="Q1887"/>
      <c r="R1887"/>
      <c r="S1887"/>
      <c r="T1887"/>
      <c r="U1887"/>
      <c r="V1887"/>
      <c r="Z1887"/>
      <c r="AA1887"/>
    </row>
    <row r="1888" spans="7:27" x14ac:dyDescent="0.45">
      <c r="G1888"/>
      <c r="H1888"/>
      <c r="I1888"/>
      <c r="J1888"/>
      <c r="M1888"/>
      <c r="O1888"/>
      <c r="Q1888"/>
      <c r="R1888"/>
      <c r="S1888"/>
      <c r="T1888"/>
      <c r="U1888"/>
      <c r="V1888"/>
      <c r="Z1888"/>
      <c r="AA1888"/>
    </row>
    <row r="1889" spans="7:27" x14ac:dyDescent="0.45">
      <c r="G1889"/>
      <c r="H1889"/>
      <c r="I1889"/>
      <c r="J1889"/>
      <c r="M1889"/>
      <c r="O1889"/>
      <c r="Q1889"/>
      <c r="R1889"/>
      <c r="S1889"/>
      <c r="T1889"/>
      <c r="U1889"/>
      <c r="V1889"/>
      <c r="Z1889"/>
      <c r="AA1889"/>
    </row>
    <row r="1890" spans="7:27" x14ac:dyDescent="0.45">
      <c r="G1890"/>
      <c r="H1890"/>
      <c r="I1890"/>
      <c r="J1890"/>
      <c r="M1890"/>
      <c r="O1890"/>
      <c r="Q1890"/>
      <c r="R1890"/>
      <c r="S1890"/>
      <c r="T1890"/>
      <c r="U1890"/>
      <c r="V1890"/>
      <c r="Z1890"/>
      <c r="AA1890"/>
    </row>
    <row r="1891" spans="7:27" x14ac:dyDescent="0.45">
      <c r="G1891"/>
      <c r="H1891"/>
      <c r="I1891"/>
      <c r="J1891"/>
      <c r="M1891"/>
      <c r="O1891"/>
      <c r="Q1891"/>
      <c r="R1891"/>
      <c r="S1891"/>
      <c r="T1891"/>
      <c r="U1891"/>
      <c r="V1891"/>
      <c r="Z1891"/>
      <c r="AA1891"/>
    </row>
    <row r="1892" spans="7:27" x14ac:dyDescent="0.45">
      <c r="G1892"/>
      <c r="H1892"/>
      <c r="I1892"/>
      <c r="J1892"/>
      <c r="M1892"/>
      <c r="O1892"/>
      <c r="Q1892"/>
      <c r="R1892"/>
      <c r="S1892"/>
      <c r="T1892"/>
      <c r="U1892"/>
      <c r="V1892"/>
      <c r="Z1892"/>
      <c r="AA1892"/>
    </row>
    <row r="1893" spans="7:27" x14ac:dyDescent="0.45">
      <c r="G1893"/>
      <c r="H1893"/>
      <c r="I1893"/>
      <c r="J1893"/>
      <c r="M1893"/>
      <c r="O1893"/>
      <c r="Q1893"/>
      <c r="R1893"/>
      <c r="S1893"/>
      <c r="T1893"/>
      <c r="U1893"/>
      <c r="V1893"/>
      <c r="Z1893"/>
      <c r="AA1893"/>
    </row>
    <row r="1894" spans="7:27" x14ac:dyDescent="0.45">
      <c r="G1894"/>
      <c r="H1894"/>
      <c r="I1894"/>
      <c r="J1894"/>
      <c r="M1894"/>
      <c r="O1894"/>
      <c r="Q1894"/>
      <c r="R1894"/>
      <c r="S1894"/>
      <c r="T1894"/>
      <c r="U1894"/>
      <c r="V1894"/>
      <c r="Z1894"/>
      <c r="AA1894"/>
    </row>
    <row r="1895" spans="7:27" x14ac:dyDescent="0.45">
      <c r="G1895"/>
      <c r="H1895"/>
      <c r="I1895"/>
      <c r="J1895"/>
      <c r="M1895"/>
      <c r="O1895"/>
      <c r="Q1895"/>
      <c r="R1895"/>
      <c r="S1895"/>
      <c r="T1895"/>
      <c r="U1895"/>
      <c r="V1895"/>
      <c r="Z1895"/>
      <c r="AA1895"/>
    </row>
    <row r="1896" spans="7:27" x14ac:dyDescent="0.45">
      <c r="G1896"/>
      <c r="H1896"/>
      <c r="I1896"/>
      <c r="J1896"/>
      <c r="M1896"/>
      <c r="O1896"/>
      <c r="Q1896"/>
      <c r="R1896"/>
      <c r="S1896"/>
      <c r="T1896"/>
      <c r="U1896"/>
      <c r="V1896"/>
      <c r="Z1896"/>
      <c r="AA1896"/>
    </row>
    <row r="1897" spans="7:27" x14ac:dyDescent="0.45">
      <c r="G1897"/>
      <c r="H1897"/>
      <c r="I1897"/>
      <c r="J1897"/>
      <c r="M1897"/>
      <c r="O1897"/>
      <c r="Q1897"/>
      <c r="R1897"/>
      <c r="S1897"/>
      <c r="T1897"/>
      <c r="U1897"/>
      <c r="V1897"/>
      <c r="Z1897"/>
      <c r="AA1897"/>
    </row>
    <row r="1898" spans="7:27" x14ac:dyDescent="0.45">
      <c r="G1898"/>
      <c r="H1898"/>
      <c r="I1898"/>
      <c r="J1898"/>
      <c r="M1898"/>
      <c r="O1898"/>
      <c r="Q1898"/>
      <c r="R1898"/>
      <c r="S1898"/>
      <c r="T1898"/>
      <c r="U1898"/>
      <c r="V1898"/>
      <c r="Z1898"/>
      <c r="AA1898"/>
    </row>
    <row r="1899" spans="7:27" x14ac:dyDescent="0.45">
      <c r="G1899"/>
      <c r="H1899"/>
      <c r="I1899"/>
      <c r="J1899"/>
      <c r="M1899"/>
      <c r="O1899"/>
      <c r="Q1899"/>
      <c r="R1899"/>
      <c r="S1899"/>
      <c r="T1899"/>
      <c r="U1899"/>
      <c r="V1899"/>
      <c r="Z1899"/>
      <c r="AA1899"/>
    </row>
    <row r="1900" spans="7:27" x14ac:dyDescent="0.45">
      <c r="G1900"/>
      <c r="H1900"/>
      <c r="I1900"/>
      <c r="J1900"/>
      <c r="M1900"/>
      <c r="O1900"/>
      <c r="Q1900"/>
      <c r="R1900"/>
      <c r="S1900"/>
      <c r="T1900"/>
      <c r="U1900"/>
      <c r="V1900"/>
      <c r="Z1900"/>
      <c r="AA1900"/>
    </row>
    <row r="1901" spans="7:27" x14ac:dyDescent="0.45">
      <c r="G1901"/>
      <c r="H1901"/>
      <c r="I1901"/>
      <c r="J1901"/>
      <c r="M1901"/>
      <c r="O1901"/>
      <c r="Q1901"/>
      <c r="R1901"/>
      <c r="S1901"/>
      <c r="T1901"/>
      <c r="U1901"/>
      <c r="V1901"/>
      <c r="Z1901"/>
      <c r="AA1901"/>
    </row>
    <row r="1902" spans="7:27" x14ac:dyDescent="0.45">
      <c r="G1902"/>
      <c r="H1902"/>
      <c r="I1902"/>
      <c r="J1902"/>
      <c r="M1902"/>
      <c r="O1902"/>
      <c r="Q1902"/>
      <c r="R1902"/>
      <c r="S1902"/>
      <c r="T1902"/>
      <c r="U1902"/>
      <c r="V1902"/>
      <c r="Z1902"/>
      <c r="AA1902"/>
    </row>
    <row r="1903" spans="7:27" x14ac:dyDescent="0.45">
      <c r="G1903"/>
      <c r="H1903"/>
      <c r="I1903"/>
      <c r="J1903"/>
      <c r="M1903"/>
      <c r="O1903"/>
      <c r="Q1903"/>
      <c r="R1903"/>
      <c r="S1903"/>
      <c r="T1903"/>
      <c r="U1903"/>
      <c r="V1903"/>
      <c r="Z1903"/>
      <c r="AA1903"/>
    </row>
    <row r="1904" spans="7:27" x14ac:dyDescent="0.45">
      <c r="G1904"/>
      <c r="H1904"/>
      <c r="I1904"/>
      <c r="J1904"/>
      <c r="M1904"/>
      <c r="O1904"/>
      <c r="Q1904"/>
      <c r="R1904"/>
      <c r="S1904"/>
      <c r="T1904"/>
      <c r="U1904"/>
      <c r="V1904"/>
      <c r="Z1904"/>
      <c r="AA1904"/>
    </row>
    <row r="1905" spans="7:27" x14ac:dyDescent="0.45">
      <c r="G1905"/>
      <c r="H1905"/>
      <c r="I1905"/>
      <c r="J1905"/>
      <c r="M1905"/>
      <c r="O1905"/>
      <c r="Q1905"/>
      <c r="R1905"/>
      <c r="S1905"/>
      <c r="T1905"/>
      <c r="U1905"/>
      <c r="V1905"/>
      <c r="Z1905"/>
      <c r="AA1905"/>
    </row>
    <row r="1906" spans="7:27" x14ac:dyDescent="0.45">
      <c r="G1906"/>
      <c r="H1906"/>
      <c r="I1906"/>
      <c r="J1906"/>
      <c r="M1906"/>
      <c r="O1906"/>
      <c r="Q1906"/>
      <c r="R1906"/>
      <c r="S1906"/>
      <c r="T1906"/>
      <c r="U1906"/>
      <c r="V1906"/>
      <c r="Z1906"/>
      <c r="AA1906"/>
    </row>
    <row r="1907" spans="7:27" x14ac:dyDescent="0.45">
      <c r="G1907"/>
      <c r="H1907"/>
      <c r="I1907"/>
      <c r="J1907"/>
      <c r="M1907"/>
      <c r="O1907"/>
      <c r="Q1907"/>
      <c r="R1907"/>
      <c r="S1907"/>
      <c r="T1907"/>
      <c r="U1907"/>
      <c r="V1907"/>
      <c r="Z1907"/>
      <c r="AA1907"/>
    </row>
    <row r="1908" spans="7:27" x14ac:dyDescent="0.45">
      <c r="G1908"/>
      <c r="H1908"/>
      <c r="I1908"/>
      <c r="J1908"/>
      <c r="M1908"/>
      <c r="O1908"/>
      <c r="Q1908"/>
      <c r="R1908"/>
      <c r="S1908"/>
      <c r="T1908"/>
      <c r="U1908"/>
      <c r="V1908"/>
      <c r="Z1908"/>
      <c r="AA1908"/>
    </row>
    <row r="1909" spans="7:27" x14ac:dyDescent="0.45">
      <c r="G1909"/>
      <c r="H1909"/>
      <c r="I1909"/>
      <c r="J1909"/>
      <c r="M1909"/>
      <c r="O1909"/>
      <c r="Q1909"/>
      <c r="R1909"/>
      <c r="S1909"/>
      <c r="T1909"/>
      <c r="U1909"/>
      <c r="V1909"/>
      <c r="Z1909"/>
      <c r="AA1909"/>
    </row>
    <row r="1910" spans="7:27" x14ac:dyDescent="0.45">
      <c r="G1910"/>
      <c r="H1910"/>
      <c r="I1910"/>
      <c r="J1910"/>
      <c r="M1910"/>
      <c r="O1910"/>
      <c r="Q1910"/>
      <c r="R1910"/>
      <c r="S1910"/>
      <c r="T1910"/>
      <c r="U1910"/>
      <c r="V1910"/>
      <c r="Z1910"/>
      <c r="AA1910"/>
    </row>
    <row r="1911" spans="7:27" x14ac:dyDescent="0.45">
      <c r="G1911"/>
      <c r="H1911"/>
      <c r="I1911"/>
      <c r="J1911"/>
      <c r="M1911"/>
      <c r="O1911"/>
      <c r="Q1911"/>
      <c r="R1911"/>
      <c r="S1911"/>
      <c r="T1911"/>
      <c r="U1911"/>
      <c r="V1911"/>
      <c r="Z1911"/>
      <c r="AA1911"/>
    </row>
    <row r="1912" spans="7:27" x14ac:dyDescent="0.45">
      <c r="G1912"/>
      <c r="H1912"/>
      <c r="I1912"/>
      <c r="J1912"/>
      <c r="M1912"/>
      <c r="O1912"/>
      <c r="Q1912"/>
      <c r="R1912"/>
      <c r="S1912"/>
      <c r="T1912"/>
      <c r="U1912"/>
      <c r="V1912"/>
      <c r="Z1912"/>
      <c r="AA1912"/>
    </row>
    <row r="1913" spans="7:27" x14ac:dyDescent="0.45">
      <c r="G1913"/>
      <c r="H1913"/>
      <c r="I1913"/>
      <c r="J1913"/>
      <c r="M1913"/>
      <c r="O1913"/>
      <c r="Q1913"/>
      <c r="R1913"/>
      <c r="S1913"/>
      <c r="T1913"/>
      <c r="U1913"/>
      <c r="V1913"/>
      <c r="Z1913"/>
      <c r="AA1913"/>
    </row>
    <row r="1914" spans="7:27" x14ac:dyDescent="0.45">
      <c r="G1914"/>
      <c r="H1914"/>
      <c r="I1914"/>
      <c r="J1914"/>
      <c r="M1914"/>
      <c r="O1914"/>
      <c r="Q1914"/>
      <c r="R1914"/>
      <c r="S1914"/>
      <c r="T1914"/>
      <c r="U1914"/>
      <c r="V1914"/>
      <c r="Z1914"/>
      <c r="AA1914"/>
    </row>
    <row r="1915" spans="7:27" x14ac:dyDescent="0.45">
      <c r="G1915"/>
      <c r="H1915"/>
      <c r="I1915"/>
      <c r="J1915"/>
      <c r="M1915"/>
      <c r="O1915"/>
      <c r="Q1915"/>
      <c r="R1915"/>
      <c r="S1915"/>
      <c r="T1915"/>
      <c r="U1915"/>
      <c r="V1915"/>
      <c r="Z1915"/>
      <c r="AA1915"/>
    </row>
    <row r="1916" spans="7:27" x14ac:dyDescent="0.45">
      <c r="G1916"/>
      <c r="H1916"/>
      <c r="I1916"/>
      <c r="J1916"/>
      <c r="M1916"/>
      <c r="O1916"/>
      <c r="Q1916"/>
      <c r="R1916"/>
      <c r="S1916"/>
      <c r="T1916"/>
      <c r="U1916"/>
      <c r="V1916"/>
      <c r="Z1916"/>
      <c r="AA1916"/>
    </row>
    <row r="1917" spans="7:27" x14ac:dyDescent="0.45">
      <c r="G1917"/>
      <c r="H1917"/>
      <c r="I1917"/>
      <c r="J1917"/>
      <c r="M1917"/>
      <c r="O1917"/>
      <c r="Q1917"/>
      <c r="R1917"/>
      <c r="S1917"/>
      <c r="T1917"/>
      <c r="U1917"/>
      <c r="V1917"/>
      <c r="Z1917"/>
      <c r="AA1917"/>
    </row>
    <row r="1918" spans="7:27" x14ac:dyDescent="0.45">
      <c r="G1918"/>
      <c r="H1918"/>
      <c r="I1918"/>
      <c r="J1918"/>
      <c r="M1918"/>
      <c r="O1918"/>
      <c r="Q1918"/>
      <c r="R1918"/>
      <c r="S1918"/>
      <c r="T1918"/>
      <c r="U1918"/>
      <c r="V1918"/>
      <c r="Z1918"/>
      <c r="AA1918"/>
    </row>
    <row r="1919" spans="7:27" x14ac:dyDescent="0.45">
      <c r="G1919"/>
      <c r="H1919"/>
      <c r="I1919"/>
      <c r="J1919"/>
      <c r="M1919"/>
      <c r="O1919"/>
      <c r="Q1919"/>
      <c r="R1919"/>
      <c r="S1919"/>
      <c r="T1919"/>
      <c r="U1919"/>
      <c r="V1919"/>
      <c r="Z1919"/>
      <c r="AA1919"/>
    </row>
    <row r="1920" spans="7:27" x14ac:dyDescent="0.45">
      <c r="G1920"/>
      <c r="H1920"/>
      <c r="I1920"/>
      <c r="J1920"/>
      <c r="M1920"/>
      <c r="O1920"/>
      <c r="Q1920"/>
      <c r="R1920"/>
      <c r="S1920"/>
      <c r="T1920"/>
      <c r="U1920"/>
      <c r="V1920"/>
      <c r="Z1920"/>
      <c r="AA1920"/>
    </row>
    <row r="1921" spans="7:27" x14ac:dyDescent="0.45">
      <c r="G1921"/>
      <c r="H1921"/>
      <c r="I1921"/>
      <c r="J1921"/>
      <c r="M1921"/>
      <c r="O1921"/>
      <c r="Q1921"/>
      <c r="R1921"/>
      <c r="S1921"/>
      <c r="T1921"/>
      <c r="U1921"/>
      <c r="V1921"/>
      <c r="Z1921"/>
      <c r="AA1921"/>
    </row>
    <row r="1922" spans="7:27" x14ac:dyDescent="0.45">
      <c r="G1922"/>
      <c r="H1922"/>
      <c r="I1922"/>
      <c r="J1922"/>
      <c r="M1922"/>
      <c r="O1922"/>
      <c r="Q1922"/>
      <c r="R1922"/>
      <c r="S1922"/>
      <c r="T1922"/>
      <c r="U1922"/>
      <c r="V1922"/>
      <c r="Z1922"/>
      <c r="AA1922"/>
    </row>
    <row r="1923" spans="7:27" x14ac:dyDescent="0.45">
      <c r="G1923"/>
      <c r="H1923"/>
      <c r="I1923"/>
      <c r="J1923"/>
      <c r="M1923"/>
      <c r="O1923"/>
      <c r="Q1923"/>
      <c r="R1923"/>
      <c r="S1923"/>
      <c r="T1923"/>
      <c r="U1923"/>
      <c r="V1923"/>
      <c r="Z1923"/>
      <c r="AA1923"/>
    </row>
    <row r="1924" spans="7:27" x14ac:dyDescent="0.45">
      <c r="G1924"/>
      <c r="H1924"/>
      <c r="I1924"/>
      <c r="J1924"/>
      <c r="M1924"/>
      <c r="O1924"/>
      <c r="Q1924"/>
      <c r="R1924"/>
      <c r="S1924"/>
      <c r="T1924"/>
      <c r="U1924"/>
      <c r="V1924"/>
      <c r="Z1924"/>
      <c r="AA1924"/>
    </row>
    <row r="1925" spans="7:27" x14ac:dyDescent="0.45">
      <c r="G1925"/>
      <c r="H1925"/>
      <c r="I1925"/>
      <c r="J1925"/>
      <c r="M1925"/>
      <c r="O1925"/>
      <c r="Q1925"/>
      <c r="R1925"/>
      <c r="S1925"/>
      <c r="T1925"/>
      <c r="U1925"/>
      <c r="V1925"/>
      <c r="Z1925"/>
      <c r="AA1925"/>
    </row>
    <row r="1926" spans="7:27" x14ac:dyDescent="0.45">
      <c r="G1926"/>
      <c r="H1926"/>
      <c r="I1926"/>
      <c r="J1926"/>
      <c r="M1926"/>
      <c r="O1926"/>
      <c r="Q1926"/>
      <c r="R1926"/>
      <c r="S1926"/>
      <c r="T1926"/>
      <c r="U1926"/>
      <c r="V1926"/>
      <c r="Z1926"/>
      <c r="AA1926"/>
    </row>
    <row r="1927" spans="7:27" x14ac:dyDescent="0.45">
      <c r="G1927"/>
      <c r="H1927"/>
      <c r="I1927"/>
      <c r="J1927"/>
      <c r="M1927"/>
      <c r="O1927"/>
      <c r="Q1927"/>
      <c r="R1927"/>
      <c r="S1927"/>
      <c r="T1927"/>
      <c r="U1927"/>
      <c r="V1927"/>
      <c r="Z1927"/>
      <c r="AA1927"/>
    </row>
    <row r="1928" spans="7:27" x14ac:dyDescent="0.45">
      <c r="G1928"/>
      <c r="H1928"/>
      <c r="I1928"/>
      <c r="J1928"/>
      <c r="M1928"/>
      <c r="O1928"/>
      <c r="Q1928"/>
      <c r="R1928"/>
      <c r="S1928"/>
      <c r="T1928"/>
      <c r="U1928"/>
      <c r="V1928"/>
      <c r="Z1928"/>
      <c r="AA1928"/>
    </row>
    <row r="1929" spans="7:27" x14ac:dyDescent="0.45">
      <c r="G1929"/>
      <c r="H1929"/>
      <c r="I1929"/>
      <c r="J1929"/>
      <c r="M1929"/>
      <c r="O1929"/>
      <c r="Q1929"/>
      <c r="R1929"/>
      <c r="S1929"/>
      <c r="T1929"/>
      <c r="U1929"/>
      <c r="V1929"/>
      <c r="Z1929"/>
      <c r="AA1929"/>
    </row>
    <row r="1930" spans="7:27" x14ac:dyDescent="0.45">
      <c r="G1930"/>
      <c r="H1930"/>
      <c r="I1930"/>
      <c r="J1930"/>
      <c r="M1930"/>
      <c r="O1930"/>
      <c r="Q1930"/>
      <c r="R1930"/>
      <c r="S1930"/>
      <c r="T1930"/>
      <c r="U1930"/>
      <c r="V1930"/>
      <c r="Z1930"/>
      <c r="AA1930"/>
    </row>
    <row r="1931" spans="7:27" x14ac:dyDescent="0.45">
      <c r="G1931"/>
      <c r="H1931"/>
      <c r="I1931"/>
      <c r="J1931"/>
      <c r="M1931"/>
      <c r="O1931"/>
      <c r="Q1931"/>
      <c r="R1931"/>
      <c r="S1931"/>
      <c r="T1931"/>
      <c r="U1931"/>
      <c r="V1931"/>
      <c r="Z1931"/>
      <c r="AA1931"/>
    </row>
    <row r="1932" spans="7:27" x14ac:dyDescent="0.45">
      <c r="G1932"/>
      <c r="H1932"/>
      <c r="I1932"/>
      <c r="J1932"/>
      <c r="M1932"/>
      <c r="O1932"/>
      <c r="Q1932"/>
      <c r="R1932"/>
      <c r="S1932"/>
      <c r="T1932"/>
      <c r="U1932"/>
      <c r="V1932"/>
      <c r="Z1932"/>
      <c r="AA1932"/>
    </row>
    <row r="1933" spans="7:27" x14ac:dyDescent="0.45">
      <c r="G1933"/>
      <c r="H1933"/>
      <c r="I1933"/>
      <c r="J1933"/>
      <c r="M1933"/>
      <c r="O1933"/>
      <c r="Q1933"/>
      <c r="R1933"/>
      <c r="S1933"/>
      <c r="T1933"/>
      <c r="U1933"/>
      <c r="V1933"/>
      <c r="Z1933"/>
      <c r="AA1933"/>
    </row>
    <row r="1934" spans="7:27" x14ac:dyDescent="0.45">
      <c r="G1934"/>
      <c r="H1934"/>
      <c r="I1934"/>
      <c r="J1934"/>
      <c r="M1934"/>
      <c r="O1934"/>
      <c r="Q1934"/>
      <c r="R1934"/>
      <c r="S1934"/>
      <c r="T1934"/>
      <c r="U1934"/>
      <c r="V1934"/>
      <c r="Z1934"/>
      <c r="AA1934"/>
    </row>
    <row r="1935" spans="7:27" x14ac:dyDescent="0.45">
      <c r="G1935"/>
      <c r="H1935"/>
      <c r="I1935"/>
      <c r="J1935"/>
      <c r="M1935"/>
      <c r="O1935"/>
      <c r="Q1935"/>
      <c r="R1935"/>
      <c r="S1935"/>
      <c r="T1935"/>
      <c r="U1935"/>
      <c r="V1935"/>
      <c r="Z1935"/>
      <c r="AA1935"/>
    </row>
    <row r="1936" spans="7:27" x14ac:dyDescent="0.45">
      <c r="G1936"/>
      <c r="H1936"/>
      <c r="I1936"/>
      <c r="J1936"/>
      <c r="M1936"/>
      <c r="O1936"/>
      <c r="Q1936"/>
      <c r="R1936"/>
      <c r="S1936"/>
      <c r="T1936"/>
      <c r="U1936"/>
      <c r="V1936"/>
      <c r="Z1936"/>
      <c r="AA1936"/>
    </row>
    <row r="1937" spans="7:27" x14ac:dyDescent="0.45">
      <c r="G1937"/>
      <c r="H1937"/>
      <c r="I1937"/>
      <c r="J1937"/>
      <c r="M1937"/>
      <c r="O1937"/>
      <c r="Q1937"/>
      <c r="R1937"/>
      <c r="S1937"/>
      <c r="T1937"/>
      <c r="U1937"/>
      <c r="V1937"/>
      <c r="Z1937"/>
      <c r="AA1937"/>
    </row>
    <row r="1938" spans="7:27" x14ac:dyDescent="0.45">
      <c r="G1938"/>
      <c r="H1938"/>
      <c r="I1938"/>
      <c r="J1938"/>
      <c r="M1938"/>
      <c r="O1938"/>
      <c r="Q1938"/>
      <c r="R1938"/>
      <c r="S1938"/>
      <c r="T1938"/>
      <c r="U1938"/>
      <c r="V1938"/>
      <c r="Z1938"/>
      <c r="AA1938"/>
    </row>
    <row r="1939" spans="7:27" x14ac:dyDescent="0.45">
      <c r="G1939"/>
      <c r="H1939"/>
      <c r="I1939"/>
      <c r="J1939"/>
      <c r="M1939"/>
      <c r="O1939"/>
      <c r="Q1939"/>
      <c r="R1939"/>
      <c r="S1939"/>
      <c r="T1939"/>
      <c r="U1939"/>
      <c r="V1939"/>
      <c r="Z1939"/>
      <c r="AA1939"/>
    </row>
    <row r="1940" spans="7:27" x14ac:dyDescent="0.45">
      <c r="G1940"/>
      <c r="H1940"/>
      <c r="I1940"/>
      <c r="J1940"/>
      <c r="M1940"/>
      <c r="O1940"/>
      <c r="Q1940"/>
      <c r="R1940"/>
      <c r="S1940"/>
      <c r="T1940"/>
      <c r="U1940"/>
      <c r="V1940"/>
      <c r="Z1940"/>
      <c r="AA1940"/>
    </row>
    <row r="1941" spans="7:27" x14ac:dyDescent="0.45">
      <c r="G1941"/>
      <c r="H1941"/>
      <c r="I1941"/>
      <c r="J1941"/>
      <c r="M1941"/>
      <c r="O1941"/>
      <c r="Q1941"/>
      <c r="R1941"/>
      <c r="S1941"/>
      <c r="T1941"/>
      <c r="U1941"/>
      <c r="V1941"/>
      <c r="Z1941"/>
      <c r="AA1941"/>
    </row>
    <row r="1942" spans="7:27" x14ac:dyDescent="0.45">
      <c r="G1942"/>
      <c r="H1942"/>
      <c r="I1942"/>
      <c r="J1942"/>
      <c r="M1942"/>
      <c r="O1942"/>
      <c r="Q1942"/>
      <c r="R1942"/>
      <c r="S1942"/>
      <c r="T1942"/>
      <c r="U1942"/>
      <c r="V1942"/>
      <c r="Z1942"/>
      <c r="AA1942"/>
    </row>
    <row r="1943" spans="7:27" x14ac:dyDescent="0.45">
      <c r="G1943"/>
      <c r="H1943"/>
      <c r="I1943"/>
      <c r="J1943"/>
      <c r="M1943"/>
      <c r="O1943"/>
      <c r="Q1943"/>
      <c r="R1943"/>
      <c r="S1943"/>
      <c r="T1943"/>
      <c r="U1943"/>
      <c r="V1943"/>
      <c r="Z1943"/>
      <c r="AA1943"/>
    </row>
    <row r="1944" spans="7:27" x14ac:dyDescent="0.45">
      <c r="G1944"/>
      <c r="H1944"/>
      <c r="I1944"/>
      <c r="J1944"/>
      <c r="M1944"/>
      <c r="O1944"/>
      <c r="Q1944"/>
      <c r="R1944"/>
      <c r="S1944"/>
      <c r="T1944"/>
      <c r="U1944"/>
      <c r="V1944"/>
      <c r="Z1944"/>
      <c r="AA1944"/>
    </row>
    <row r="1945" spans="7:27" x14ac:dyDescent="0.45">
      <c r="G1945"/>
      <c r="H1945"/>
      <c r="I1945"/>
      <c r="J1945"/>
      <c r="M1945"/>
      <c r="O1945"/>
      <c r="Q1945"/>
      <c r="R1945"/>
      <c r="S1945"/>
      <c r="T1945"/>
      <c r="U1945"/>
      <c r="V1945"/>
      <c r="Z1945"/>
      <c r="AA1945"/>
    </row>
    <row r="1946" spans="7:27" x14ac:dyDescent="0.45">
      <c r="G1946"/>
      <c r="H1946"/>
      <c r="I1946"/>
      <c r="J1946"/>
      <c r="M1946"/>
      <c r="O1946"/>
      <c r="Q1946"/>
      <c r="R1946"/>
      <c r="S1946"/>
      <c r="T1946"/>
      <c r="U1946"/>
      <c r="V1946"/>
      <c r="Z1946"/>
      <c r="AA1946"/>
    </row>
    <row r="1947" spans="7:27" x14ac:dyDescent="0.45">
      <c r="G1947"/>
      <c r="H1947"/>
      <c r="I1947"/>
      <c r="J1947"/>
      <c r="M1947"/>
      <c r="O1947"/>
      <c r="Q1947"/>
      <c r="R1947"/>
      <c r="S1947"/>
      <c r="T1947"/>
      <c r="U1947"/>
      <c r="V1947"/>
      <c r="Z1947"/>
      <c r="AA1947"/>
    </row>
    <row r="1948" spans="7:27" x14ac:dyDescent="0.45">
      <c r="G1948"/>
      <c r="H1948"/>
      <c r="I1948"/>
      <c r="J1948"/>
      <c r="M1948"/>
      <c r="O1948"/>
      <c r="Q1948"/>
      <c r="R1948"/>
      <c r="S1948"/>
      <c r="T1948"/>
      <c r="U1948"/>
      <c r="V1948"/>
      <c r="Z1948"/>
      <c r="AA1948"/>
    </row>
    <row r="1949" spans="7:27" x14ac:dyDescent="0.45">
      <c r="G1949"/>
      <c r="H1949"/>
      <c r="I1949"/>
      <c r="J1949"/>
      <c r="M1949"/>
      <c r="O1949"/>
      <c r="Q1949"/>
      <c r="R1949"/>
      <c r="S1949"/>
      <c r="T1949"/>
      <c r="U1949"/>
      <c r="V1949"/>
      <c r="Z1949"/>
      <c r="AA1949"/>
    </row>
    <row r="1950" spans="7:27" x14ac:dyDescent="0.45">
      <c r="G1950"/>
      <c r="H1950"/>
      <c r="I1950"/>
      <c r="J1950"/>
      <c r="M1950"/>
      <c r="O1950"/>
      <c r="Q1950"/>
      <c r="R1950"/>
      <c r="S1950"/>
      <c r="T1950"/>
      <c r="U1950"/>
      <c r="V1950"/>
      <c r="Z1950"/>
      <c r="AA1950"/>
    </row>
    <row r="1951" spans="7:27" x14ac:dyDescent="0.45">
      <c r="G1951"/>
      <c r="H1951"/>
      <c r="I1951"/>
      <c r="J1951"/>
      <c r="M1951"/>
      <c r="O1951"/>
      <c r="Q1951"/>
      <c r="R1951"/>
      <c r="S1951"/>
      <c r="T1951"/>
      <c r="U1951"/>
      <c r="V1951"/>
      <c r="Z1951"/>
      <c r="AA1951"/>
    </row>
    <row r="1952" spans="7:27" x14ac:dyDescent="0.45">
      <c r="G1952"/>
      <c r="H1952"/>
      <c r="I1952"/>
      <c r="J1952"/>
      <c r="M1952"/>
      <c r="O1952"/>
      <c r="Q1952"/>
      <c r="R1952"/>
      <c r="S1952"/>
      <c r="T1952"/>
      <c r="U1952"/>
      <c r="V1952"/>
      <c r="Z1952"/>
      <c r="AA1952"/>
    </row>
    <row r="1953" spans="7:27" x14ac:dyDescent="0.45">
      <c r="G1953"/>
      <c r="H1953"/>
      <c r="I1953"/>
      <c r="J1953"/>
      <c r="M1953"/>
      <c r="O1953"/>
      <c r="Q1953"/>
      <c r="R1953"/>
      <c r="S1953"/>
      <c r="T1953"/>
      <c r="U1953"/>
      <c r="V1953"/>
      <c r="Z1953"/>
      <c r="AA1953"/>
    </row>
    <row r="1954" spans="7:27" x14ac:dyDescent="0.45">
      <c r="G1954"/>
      <c r="H1954"/>
      <c r="I1954"/>
      <c r="J1954"/>
      <c r="M1954"/>
      <c r="O1954"/>
      <c r="Q1954"/>
      <c r="R1954"/>
      <c r="S1954"/>
      <c r="T1954"/>
      <c r="U1954"/>
      <c r="V1954"/>
      <c r="Z1954"/>
      <c r="AA1954"/>
    </row>
    <row r="1955" spans="7:27" x14ac:dyDescent="0.45">
      <c r="G1955"/>
      <c r="H1955"/>
      <c r="I1955"/>
      <c r="J1955"/>
      <c r="M1955"/>
      <c r="O1955"/>
      <c r="Q1955"/>
      <c r="R1955"/>
      <c r="S1955"/>
      <c r="T1955"/>
      <c r="U1955"/>
      <c r="V1955"/>
      <c r="Z1955"/>
      <c r="AA1955"/>
    </row>
    <row r="1956" spans="7:27" x14ac:dyDescent="0.45">
      <c r="G1956"/>
      <c r="H1956"/>
      <c r="I1956"/>
      <c r="J1956"/>
      <c r="M1956"/>
      <c r="O1956"/>
      <c r="Q1956"/>
      <c r="R1956"/>
      <c r="S1956"/>
      <c r="T1956"/>
      <c r="U1956"/>
      <c r="V1956"/>
      <c r="Z1956"/>
      <c r="AA1956"/>
    </row>
    <row r="1957" spans="7:27" x14ac:dyDescent="0.45">
      <c r="G1957"/>
      <c r="H1957"/>
      <c r="I1957"/>
      <c r="J1957"/>
      <c r="M1957"/>
      <c r="O1957"/>
      <c r="Q1957"/>
      <c r="R1957"/>
      <c r="S1957"/>
      <c r="T1957"/>
      <c r="U1957"/>
      <c r="V1957"/>
      <c r="Z1957"/>
      <c r="AA1957"/>
    </row>
    <row r="1958" spans="7:27" x14ac:dyDescent="0.45">
      <c r="G1958"/>
      <c r="H1958"/>
      <c r="I1958"/>
      <c r="J1958"/>
      <c r="M1958"/>
      <c r="O1958"/>
      <c r="Q1958"/>
      <c r="R1958"/>
      <c r="S1958"/>
      <c r="T1958"/>
      <c r="U1958"/>
      <c r="V1958"/>
      <c r="Z1958"/>
      <c r="AA1958"/>
    </row>
    <row r="1959" spans="7:27" x14ac:dyDescent="0.45">
      <c r="G1959"/>
      <c r="H1959"/>
      <c r="I1959"/>
      <c r="J1959"/>
      <c r="M1959"/>
      <c r="O1959"/>
      <c r="Q1959"/>
      <c r="R1959"/>
      <c r="S1959"/>
      <c r="T1959"/>
      <c r="U1959"/>
      <c r="V1959"/>
      <c r="Z1959"/>
      <c r="AA1959"/>
    </row>
    <row r="1960" spans="7:27" x14ac:dyDescent="0.45">
      <c r="G1960"/>
      <c r="H1960"/>
      <c r="I1960"/>
      <c r="J1960"/>
      <c r="M1960"/>
      <c r="O1960"/>
      <c r="Q1960"/>
      <c r="R1960"/>
      <c r="S1960"/>
      <c r="T1960"/>
      <c r="U1960"/>
      <c r="V1960"/>
      <c r="Z1960"/>
      <c r="AA1960"/>
    </row>
    <row r="1961" spans="7:27" x14ac:dyDescent="0.45">
      <c r="G1961"/>
      <c r="H1961"/>
      <c r="I1961"/>
      <c r="J1961"/>
      <c r="M1961"/>
      <c r="O1961"/>
      <c r="Q1961"/>
      <c r="R1961"/>
      <c r="S1961"/>
      <c r="T1961"/>
      <c r="U1961"/>
      <c r="V1961"/>
      <c r="Z1961"/>
      <c r="AA1961"/>
    </row>
    <row r="1962" spans="7:27" x14ac:dyDescent="0.45">
      <c r="G1962"/>
      <c r="H1962"/>
      <c r="I1962"/>
      <c r="J1962"/>
      <c r="M1962"/>
      <c r="O1962"/>
      <c r="Q1962"/>
      <c r="R1962"/>
      <c r="S1962"/>
      <c r="T1962"/>
      <c r="U1962"/>
      <c r="V1962"/>
      <c r="Z1962"/>
      <c r="AA1962"/>
    </row>
    <row r="1963" spans="7:27" x14ac:dyDescent="0.45">
      <c r="G1963"/>
      <c r="H1963"/>
      <c r="I1963"/>
      <c r="J1963"/>
      <c r="M1963"/>
      <c r="O1963"/>
      <c r="Q1963"/>
      <c r="R1963"/>
      <c r="S1963"/>
      <c r="T1963"/>
      <c r="U1963"/>
      <c r="V1963"/>
      <c r="Z1963"/>
      <c r="AA1963"/>
    </row>
    <row r="1964" spans="7:27" x14ac:dyDescent="0.45">
      <c r="G1964"/>
      <c r="H1964"/>
      <c r="I1964"/>
      <c r="J1964"/>
      <c r="M1964"/>
      <c r="O1964"/>
      <c r="Q1964"/>
      <c r="R1964"/>
      <c r="S1964"/>
      <c r="T1964"/>
      <c r="U1964"/>
      <c r="V1964"/>
      <c r="Z1964"/>
      <c r="AA1964"/>
    </row>
    <row r="1965" spans="7:27" x14ac:dyDescent="0.45">
      <c r="G1965"/>
      <c r="H1965"/>
      <c r="I1965"/>
      <c r="J1965"/>
      <c r="M1965"/>
      <c r="O1965"/>
      <c r="Q1965"/>
      <c r="R1965"/>
      <c r="S1965"/>
      <c r="T1965"/>
      <c r="U1965"/>
      <c r="V1965"/>
      <c r="Z1965"/>
      <c r="AA1965"/>
    </row>
    <row r="1966" spans="7:27" x14ac:dyDescent="0.45">
      <c r="G1966"/>
      <c r="H1966"/>
      <c r="I1966"/>
      <c r="J1966"/>
      <c r="M1966"/>
      <c r="O1966"/>
      <c r="Q1966"/>
      <c r="R1966"/>
      <c r="S1966"/>
      <c r="T1966"/>
      <c r="U1966"/>
      <c r="V1966"/>
      <c r="Z1966"/>
      <c r="AA1966"/>
    </row>
    <row r="1967" spans="7:27" x14ac:dyDescent="0.45">
      <c r="G1967"/>
      <c r="H1967"/>
      <c r="I1967"/>
      <c r="J1967"/>
      <c r="M1967"/>
      <c r="O1967"/>
      <c r="Q1967"/>
      <c r="R1967"/>
      <c r="S1967"/>
      <c r="T1967"/>
      <c r="U1967"/>
      <c r="V1967"/>
      <c r="Z1967"/>
      <c r="AA1967"/>
    </row>
    <row r="1968" spans="7:27" x14ac:dyDescent="0.45">
      <c r="G1968"/>
      <c r="H1968"/>
      <c r="I1968"/>
      <c r="J1968"/>
      <c r="M1968"/>
      <c r="O1968"/>
      <c r="Q1968"/>
      <c r="R1968"/>
      <c r="S1968"/>
      <c r="T1968"/>
      <c r="U1968"/>
      <c r="V1968"/>
      <c r="Z1968"/>
      <c r="AA1968"/>
    </row>
    <row r="1969" spans="7:27" x14ac:dyDescent="0.45">
      <c r="G1969"/>
      <c r="H1969"/>
      <c r="I1969"/>
      <c r="J1969"/>
      <c r="M1969"/>
      <c r="O1969"/>
      <c r="Q1969"/>
      <c r="R1969"/>
      <c r="S1969"/>
      <c r="T1969"/>
      <c r="U1969"/>
      <c r="V1969"/>
      <c r="Z1969"/>
      <c r="AA1969"/>
    </row>
    <row r="1970" spans="7:27" x14ac:dyDescent="0.45">
      <c r="G1970"/>
      <c r="H1970"/>
      <c r="I1970"/>
      <c r="J1970"/>
      <c r="M1970"/>
      <c r="O1970"/>
      <c r="Q1970"/>
      <c r="R1970"/>
      <c r="S1970"/>
      <c r="T1970"/>
      <c r="U1970"/>
      <c r="V1970"/>
      <c r="Z1970"/>
      <c r="AA1970"/>
    </row>
    <row r="1971" spans="7:27" x14ac:dyDescent="0.45">
      <c r="G1971"/>
      <c r="H1971"/>
      <c r="I1971"/>
      <c r="J1971"/>
      <c r="M1971"/>
      <c r="O1971"/>
      <c r="Q1971"/>
      <c r="R1971"/>
      <c r="S1971"/>
      <c r="T1971"/>
      <c r="U1971"/>
      <c r="V1971"/>
      <c r="Z1971"/>
      <c r="AA1971"/>
    </row>
    <row r="1972" spans="7:27" x14ac:dyDescent="0.45">
      <c r="G1972"/>
      <c r="H1972"/>
      <c r="I1972"/>
      <c r="J1972"/>
      <c r="M1972"/>
      <c r="O1972"/>
      <c r="Q1972"/>
      <c r="R1972"/>
      <c r="S1972"/>
      <c r="T1972"/>
      <c r="U1972"/>
      <c r="V1972"/>
      <c r="Z1972"/>
      <c r="AA1972"/>
    </row>
    <row r="1973" spans="7:27" x14ac:dyDescent="0.45">
      <c r="G1973"/>
      <c r="H1973"/>
      <c r="I1973"/>
      <c r="J1973"/>
      <c r="M1973"/>
      <c r="O1973"/>
      <c r="Q1973"/>
      <c r="R1973"/>
      <c r="S1973"/>
      <c r="T1973"/>
      <c r="U1973"/>
      <c r="V1973"/>
      <c r="Z1973"/>
      <c r="AA1973"/>
    </row>
    <row r="1974" spans="7:27" x14ac:dyDescent="0.45">
      <c r="G1974"/>
      <c r="H1974"/>
      <c r="I1974"/>
      <c r="J1974"/>
      <c r="M1974"/>
      <c r="O1974"/>
      <c r="Q1974"/>
      <c r="R1974"/>
      <c r="S1974"/>
      <c r="T1974"/>
      <c r="U1974"/>
      <c r="V1974"/>
      <c r="Z1974"/>
      <c r="AA1974"/>
    </row>
    <row r="1975" spans="7:27" x14ac:dyDescent="0.45">
      <c r="G1975"/>
      <c r="H1975"/>
      <c r="I1975"/>
      <c r="J1975"/>
      <c r="M1975"/>
      <c r="O1975"/>
      <c r="Q1975"/>
      <c r="R1975"/>
      <c r="S1975"/>
      <c r="T1975"/>
      <c r="U1975"/>
      <c r="V1975"/>
      <c r="Z1975"/>
      <c r="AA1975"/>
    </row>
    <row r="1976" spans="7:27" x14ac:dyDescent="0.45">
      <c r="G1976"/>
      <c r="H1976"/>
      <c r="I1976"/>
      <c r="J1976"/>
      <c r="M1976"/>
      <c r="O1976"/>
      <c r="Q1976"/>
      <c r="R1976"/>
      <c r="S1976"/>
      <c r="T1976"/>
      <c r="U1976"/>
      <c r="V1976"/>
      <c r="Z1976"/>
      <c r="AA1976"/>
    </row>
    <row r="1977" spans="7:27" x14ac:dyDescent="0.45">
      <c r="G1977"/>
      <c r="H1977"/>
      <c r="I1977"/>
      <c r="J1977"/>
      <c r="M1977"/>
      <c r="O1977"/>
      <c r="Q1977"/>
      <c r="R1977"/>
      <c r="S1977"/>
      <c r="T1977"/>
      <c r="U1977"/>
      <c r="V1977"/>
      <c r="Z1977"/>
      <c r="AA1977"/>
    </row>
    <row r="1978" spans="7:27" x14ac:dyDescent="0.45">
      <c r="G1978"/>
      <c r="H1978"/>
      <c r="I1978"/>
      <c r="J1978"/>
      <c r="M1978"/>
      <c r="O1978"/>
      <c r="Q1978"/>
      <c r="R1978"/>
      <c r="S1978"/>
      <c r="T1978"/>
      <c r="U1978"/>
      <c r="V1978"/>
      <c r="Z1978"/>
      <c r="AA1978"/>
    </row>
    <row r="1979" spans="7:27" x14ac:dyDescent="0.45">
      <c r="G1979"/>
      <c r="H1979"/>
      <c r="I1979"/>
      <c r="J1979"/>
      <c r="M1979"/>
      <c r="O1979"/>
      <c r="Q1979"/>
      <c r="R1979"/>
      <c r="S1979"/>
      <c r="T1979"/>
      <c r="U1979"/>
      <c r="V1979"/>
      <c r="Z1979"/>
      <c r="AA1979"/>
    </row>
    <row r="1980" spans="7:27" x14ac:dyDescent="0.45">
      <c r="G1980"/>
      <c r="H1980"/>
      <c r="I1980"/>
      <c r="J1980"/>
      <c r="M1980"/>
      <c r="O1980"/>
      <c r="Q1980"/>
      <c r="R1980"/>
      <c r="S1980"/>
      <c r="T1980"/>
      <c r="U1980"/>
      <c r="V1980"/>
      <c r="Z1980"/>
      <c r="AA1980"/>
    </row>
    <row r="1981" spans="7:27" x14ac:dyDescent="0.45">
      <c r="G1981"/>
      <c r="H1981"/>
      <c r="I1981"/>
      <c r="J1981"/>
      <c r="M1981"/>
      <c r="O1981"/>
      <c r="Q1981"/>
      <c r="R1981"/>
      <c r="S1981"/>
      <c r="T1981"/>
      <c r="U1981"/>
      <c r="V1981"/>
      <c r="Z1981"/>
      <c r="AA1981"/>
    </row>
    <row r="1982" spans="7:27" x14ac:dyDescent="0.45">
      <c r="G1982"/>
      <c r="H1982"/>
      <c r="I1982"/>
      <c r="J1982"/>
      <c r="M1982"/>
      <c r="O1982"/>
      <c r="Q1982"/>
      <c r="R1982"/>
      <c r="S1982"/>
      <c r="T1982"/>
      <c r="U1982"/>
      <c r="V1982"/>
      <c r="Z1982"/>
      <c r="AA1982"/>
    </row>
    <row r="1983" spans="7:27" x14ac:dyDescent="0.45">
      <c r="G1983"/>
      <c r="H1983"/>
      <c r="I1983"/>
      <c r="J1983"/>
      <c r="M1983"/>
      <c r="O1983"/>
      <c r="Q1983"/>
      <c r="R1983"/>
      <c r="S1983"/>
      <c r="T1983"/>
      <c r="U1983"/>
      <c r="V1983"/>
      <c r="Z1983"/>
      <c r="AA1983"/>
    </row>
    <row r="1984" spans="7:27" x14ac:dyDescent="0.45">
      <c r="G1984"/>
      <c r="H1984"/>
      <c r="I1984"/>
      <c r="J1984"/>
      <c r="M1984"/>
      <c r="O1984"/>
      <c r="Q1984"/>
      <c r="R1984"/>
      <c r="S1984"/>
      <c r="T1984"/>
      <c r="U1984"/>
      <c r="V1984"/>
      <c r="Z1984"/>
      <c r="AA1984"/>
    </row>
    <row r="1985" spans="7:27" x14ac:dyDescent="0.45">
      <c r="G1985"/>
      <c r="H1985"/>
      <c r="I1985"/>
      <c r="J1985"/>
      <c r="M1985"/>
      <c r="O1985"/>
      <c r="Q1985"/>
      <c r="R1985"/>
      <c r="S1985"/>
      <c r="T1985"/>
      <c r="U1985"/>
      <c r="V1985"/>
      <c r="Z1985"/>
      <c r="AA1985"/>
    </row>
    <row r="1986" spans="7:27" x14ac:dyDescent="0.45">
      <c r="G1986"/>
      <c r="H1986"/>
      <c r="I1986"/>
      <c r="J1986"/>
      <c r="M1986"/>
      <c r="O1986"/>
      <c r="Q1986"/>
      <c r="R1986"/>
      <c r="S1986"/>
      <c r="T1986"/>
      <c r="U1986"/>
      <c r="V1986"/>
      <c r="Z1986"/>
      <c r="AA1986"/>
    </row>
    <row r="1987" spans="7:27" x14ac:dyDescent="0.45">
      <c r="G1987"/>
      <c r="H1987"/>
      <c r="I1987"/>
      <c r="J1987"/>
      <c r="M1987"/>
      <c r="O1987"/>
      <c r="Q1987"/>
      <c r="R1987"/>
      <c r="S1987"/>
      <c r="T1987"/>
      <c r="U1987"/>
      <c r="V1987"/>
      <c r="Z1987"/>
      <c r="AA1987"/>
    </row>
    <row r="1988" spans="7:27" x14ac:dyDescent="0.45">
      <c r="G1988"/>
      <c r="H1988"/>
      <c r="I1988"/>
      <c r="J1988"/>
      <c r="M1988"/>
      <c r="O1988"/>
      <c r="Q1988"/>
      <c r="R1988"/>
      <c r="S1988"/>
      <c r="T1988"/>
      <c r="U1988"/>
      <c r="V1988"/>
      <c r="Z1988"/>
      <c r="AA1988"/>
    </row>
    <row r="1989" spans="7:27" x14ac:dyDescent="0.45">
      <c r="G1989"/>
      <c r="H1989"/>
      <c r="I1989"/>
      <c r="J1989"/>
      <c r="M1989"/>
      <c r="O1989"/>
      <c r="Q1989"/>
      <c r="R1989"/>
      <c r="S1989"/>
      <c r="T1989"/>
      <c r="U1989"/>
      <c r="V1989"/>
      <c r="Z1989"/>
      <c r="AA1989"/>
    </row>
    <row r="1990" spans="7:27" x14ac:dyDescent="0.45">
      <c r="G1990"/>
      <c r="H1990"/>
      <c r="I1990"/>
      <c r="J1990"/>
      <c r="M1990"/>
      <c r="O1990"/>
      <c r="Q1990"/>
      <c r="R1990"/>
      <c r="S1990"/>
      <c r="T1990"/>
      <c r="U1990"/>
      <c r="V1990"/>
      <c r="Z1990"/>
      <c r="AA1990"/>
    </row>
    <row r="1991" spans="7:27" x14ac:dyDescent="0.45">
      <c r="G1991"/>
      <c r="H1991"/>
      <c r="I1991"/>
      <c r="J1991"/>
      <c r="M1991"/>
      <c r="O1991"/>
      <c r="Q1991"/>
      <c r="R1991"/>
      <c r="S1991"/>
      <c r="T1991"/>
      <c r="U1991"/>
      <c r="V1991"/>
      <c r="Z1991"/>
      <c r="AA1991"/>
    </row>
    <row r="1992" spans="7:27" x14ac:dyDescent="0.45">
      <c r="G1992"/>
      <c r="H1992"/>
      <c r="I1992"/>
      <c r="J1992"/>
      <c r="M1992"/>
      <c r="O1992"/>
      <c r="Q1992"/>
      <c r="R1992"/>
      <c r="S1992"/>
      <c r="T1992"/>
      <c r="U1992"/>
      <c r="V1992"/>
      <c r="Z1992"/>
      <c r="AA1992"/>
    </row>
    <row r="1993" spans="7:27" x14ac:dyDescent="0.45">
      <c r="G1993"/>
      <c r="H1993"/>
      <c r="I1993"/>
      <c r="J1993"/>
      <c r="M1993"/>
      <c r="O1993"/>
      <c r="Q1993"/>
      <c r="R1993"/>
      <c r="S1993"/>
      <c r="T1993"/>
      <c r="U1993"/>
      <c r="V1993"/>
      <c r="Z1993"/>
      <c r="AA1993"/>
    </row>
    <row r="1994" spans="7:27" x14ac:dyDescent="0.45">
      <c r="G1994"/>
      <c r="H1994"/>
      <c r="I1994"/>
      <c r="J1994"/>
      <c r="M1994"/>
      <c r="O1994"/>
      <c r="Q1994"/>
      <c r="R1994"/>
      <c r="S1994"/>
      <c r="T1994"/>
      <c r="U1994"/>
      <c r="V1994"/>
      <c r="Z1994"/>
      <c r="AA1994"/>
    </row>
    <row r="1995" spans="7:27" x14ac:dyDescent="0.45">
      <c r="G1995"/>
      <c r="H1995"/>
      <c r="I1995"/>
      <c r="J1995"/>
      <c r="M1995"/>
      <c r="O1995"/>
      <c r="Q1995"/>
      <c r="R1995"/>
      <c r="S1995"/>
      <c r="T1995"/>
      <c r="U1995"/>
      <c r="V1995"/>
      <c r="Z1995"/>
      <c r="AA1995"/>
    </row>
    <row r="1996" spans="7:27" x14ac:dyDescent="0.45">
      <c r="G1996"/>
      <c r="H1996"/>
      <c r="I1996"/>
      <c r="J1996"/>
      <c r="M1996"/>
      <c r="O1996"/>
      <c r="Q1996"/>
      <c r="R1996"/>
      <c r="S1996"/>
      <c r="T1996"/>
      <c r="U1996"/>
      <c r="V1996"/>
      <c r="Z1996"/>
      <c r="AA1996"/>
    </row>
    <row r="1997" spans="7:27" x14ac:dyDescent="0.45">
      <c r="G1997"/>
      <c r="H1997"/>
      <c r="I1997"/>
      <c r="J1997"/>
      <c r="M1997"/>
      <c r="O1997"/>
      <c r="Q1997"/>
      <c r="R1997"/>
      <c r="S1997"/>
      <c r="T1997"/>
      <c r="U1997"/>
      <c r="V1997"/>
      <c r="Z1997"/>
      <c r="AA1997"/>
    </row>
    <row r="1998" spans="7:27" x14ac:dyDescent="0.45">
      <c r="G1998"/>
      <c r="H1998"/>
      <c r="I1998"/>
      <c r="J1998"/>
      <c r="M1998"/>
      <c r="O1998"/>
      <c r="Q1998"/>
      <c r="R1998"/>
      <c r="S1998"/>
      <c r="T1998"/>
      <c r="U1998"/>
      <c r="V1998"/>
      <c r="Z1998"/>
      <c r="AA1998"/>
    </row>
    <row r="1999" spans="7:27" x14ac:dyDescent="0.45">
      <c r="G1999"/>
      <c r="H1999"/>
      <c r="I1999"/>
      <c r="J1999"/>
      <c r="M1999"/>
      <c r="O1999"/>
      <c r="Q1999"/>
      <c r="R1999"/>
      <c r="S1999"/>
      <c r="T1999"/>
      <c r="U1999"/>
      <c r="V1999"/>
      <c r="Z1999"/>
      <c r="AA1999"/>
    </row>
    <row r="2000" spans="7:27" x14ac:dyDescent="0.45">
      <c r="G2000"/>
      <c r="H2000"/>
      <c r="I2000"/>
      <c r="J2000"/>
      <c r="M2000"/>
      <c r="O2000"/>
      <c r="Q2000"/>
      <c r="R2000"/>
      <c r="S2000"/>
      <c r="T2000"/>
      <c r="U2000"/>
      <c r="V2000"/>
      <c r="Z2000"/>
      <c r="AA2000"/>
    </row>
    <row r="2001" spans="7:27" x14ac:dyDescent="0.45">
      <c r="G2001"/>
      <c r="H2001"/>
      <c r="I2001"/>
      <c r="J2001"/>
      <c r="M2001"/>
      <c r="O2001"/>
      <c r="Q2001"/>
      <c r="R2001"/>
      <c r="S2001"/>
      <c r="T2001"/>
      <c r="U2001"/>
      <c r="V2001"/>
      <c r="Z2001"/>
      <c r="AA2001"/>
    </row>
    <row r="2002" spans="7:27" x14ac:dyDescent="0.45">
      <c r="G2002"/>
      <c r="H2002"/>
      <c r="I2002"/>
      <c r="J2002"/>
      <c r="M2002"/>
      <c r="O2002"/>
      <c r="Q2002"/>
      <c r="R2002"/>
      <c r="S2002"/>
      <c r="T2002"/>
      <c r="U2002"/>
      <c r="V2002"/>
      <c r="Z2002"/>
      <c r="AA2002"/>
    </row>
    <row r="2003" spans="7:27" x14ac:dyDescent="0.45">
      <c r="G2003"/>
      <c r="H2003"/>
      <c r="I2003"/>
      <c r="J2003"/>
      <c r="M2003"/>
      <c r="O2003"/>
      <c r="Q2003"/>
      <c r="R2003"/>
      <c r="S2003"/>
      <c r="T2003"/>
      <c r="U2003"/>
      <c r="V2003"/>
      <c r="Z2003"/>
      <c r="AA2003"/>
    </row>
    <row r="2004" spans="7:27" x14ac:dyDescent="0.45">
      <c r="G2004"/>
      <c r="H2004"/>
      <c r="I2004"/>
      <c r="J2004"/>
      <c r="M2004"/>
      <c r="O2004"/>
      <c r="Q2004"/>
      <c r="R2004"/>
      <c r="S2004"/>
      <c r="T2004"/>
      <c r="U2004"/>
      <c r="V2004"/>
      <c r="Z2004"/>
      <c r="AA2004"/>
    </row>
    <row r="2005" spans="7:27" x14ac:dyDescent="0.45">
      <c r="G2005"/>
      <c r="H2005"/>
      <c r="I2005"/>
      <c r="J2005"/>
      <c r="M2005"/>
      <c r="O2005"/>
      <c r="Q2005"/>
      <c r="R2005"/>
      <c r="S2005"/>
      <c r="T2005"/>
      <c r="U2005"/>
      <c r="V2005"/>
      <c r="Z2005"/>
      <c r="AA2005"/>
    </row>
    <row r="2006" spans="7:27" x14ac:dyDescent="0.45">
      <c r="G2006"/>
      <c r="H2006"/>
      <c r="I2006"/>
      <c r="J2006"/>
      <c r="M2006"/>
      <c r="O2006"/>
      <c r="Q2006"/>
      <c r="R2006"/>
      <c r="S2006"/>
      <c r="T2006"/>
      <c r="U2006"/>
      <c r="V2006"/>
      <c r="Z2006"/>
      <c r="AA2006"/>
    </row>
    <row r="2007" spans="7:27" x14ac:dyDescent="0.45">
      <c r="G2007"/>
      <c r="H2007"/>
      <c r="I2007"/>
      <c r="J2007"/>
      <c r="M2007"/>
      <c r="O2007"/>
      <c r="Q2007"/>
      <c r="R2007"/>
      <c r="S2007"/>
      <c r="T2007"/>
      <c r="U2007"/>
      <c r="V2007"/>
      <c r="Z2007"/>
      <c r="AA2007"/>
    </row>
    <row r="2008" spans="7:27" x14ac:dyDescent="0.45">
      <c r="G2008"/>
      <c r="H2008"/>
      <c r="I2008"/>
      <c r="J2008"/>
      <c r="M2008"/>
      <c r="O2008"/>
      <c r="Q2008"/>
      <c r="R2008"/>
      <c r="S2008"/>
      <c r="T2008"/>
      <c r="U2008"/>
      <c r="V2008"/>
      <c r="Z2008"/>
      <c r="AA2008"/>
    </row>
    <row r="2009" spans="7:27" x14ac:dyDescent="0.45">
      <c r="G2009"/>
      <c r="H2009"/>
      <c r="I2009"/>
      <c r="J2009"/>
      <c r="M2009"/>
      <c r="O2009"/>
      <c r="Q2009"/>
      <c r="R2009"/>
      <c r="S2009"/>
      <c r="T2009"/>
      <c r="U2009"/>
      <c r="V2009"/>
      <c r="Z2009"/>
      <c r="AA2009"/>
    </row>
    <row r="2010" spans="7:27" x14ac:dyDescent="0.45">
      <c r="G2010"/>
      <c r="H2010"/>
      <c r="I2010"/>
      <c r="J2010"/>
      <c r="M2010"/>
      <c r="O2010"/>
      <c r="Q2010"/>
      <c r="R2010"/>
      <c r="S2010"/>
      <c r="T2010"/>
      <c r="U2010"/>
      <c r="V2010"/>
      <c r="Z2010"/>
      <c r="AA2010"/>
    </row>
    <row r="2011" spans="7:27" x14ac:dyDescent="0.45">
      <c r="G2011"/>
      <c r="H2011"/>
      <c r="I2011"/>
      <c r="J2011"/>
      <c r="M2011"/>
      <c r="O2011"/>
      <c r="Q2011"/>
      <c r="R2011"/>
      <c r="S2011"/>
      <c r="T2011"/>
      <c r="U2011"/>
      <c r="V2011"/>
      <c r="Z2011"/>
      <c r="AA2011"/>
    </row>
    <row r="2012" spans="7:27" x14ac:dyDescent="0.45">
      <c r="G2012"/>
      <c r="H2012"/>
      <c r="I2012"/>
      <c r="J2012"/>
      <c r="M2012"/>
      <c r="O2012"/>
      <c r="Q2012"/>
      <c r="R2012"/>
      <c r="S2012"/>
      <c r="T2012"/>
      <c r="U2012"/>
      <c r="V2012"/>
      <c r="Z2012"/>
      <c r="AA2012"/>
    </row>
    <row r="2013" spans="7:27" x14ac:dyDescent="0.45">
      <c r="G2013"/>
      <c r="H2013"/>
      <c r="I2013"/>
      <c r="J2013"/>
      <c r="M2013"/>
      <c r="O2013"/>
      <c r="Q2013"/>
      <c r="R2013"/>
      <c r="S2013"/>
      <c r="T2013"/>
      <c r="U2013"/>
      <c r="V2013"/>
      <c r="Z2013"/>
      <c r="AA2013"/>
    </row>
    <row r="2014" spans="7:27" x14ac:dyDescent="0.45">
      <c r="G2014"/>
      <c r="H2014"/>
      <c r="I2014"/>
      <c r="J2014"/>
      <c r="M2014"/>
      <c r="O2014"/>
      <c r="Q2014"/>
      <c r="R2014"/>
      <c r="S2014"/>
      <c r="T2014"/>
      <c r="U2014"/>
      <c r="V2014"/>
      <c r="Z2014"/>
      <c r="AA2014"/>
    </row>
    <row r="2015" spans="7:27" x14ac:dyDescent="0.45">
      <c r="G2015"/>
      <c r="H2015"/>
      <c r="I2015"/>
      <c r="J2015"/>
      <c r="M2015"/>
      <c r="O2015"/>
      <c r="Q2015"/>
      <c r="R2015"/>
      <c r="S2015"/>
      <c r="T2015"/>
      <c r="U2015"/>
      <c r="V2015"/>
      <c r="Z2015"/>
      <c r="AA2015"/>
    </row>
    <row r="2016" spans="7:27" x14ac:dyDescent="0.45">
      <c r="G2016"/>
      <c r="H2016"/>
      <c r="I2016"/>
      <c r="J2016"/>
      <c r="M2016"/>
      <c r="O2016"/>
      <c r="Q2016"/>
      <c r="R2016"/>
      <c r="S2016"/>
      <c r="T2016"/>
      <c r="U2016"/>
      <c r="V2016"/>
      <c r="Z2016"/>
      <c r="AA2016"/>
    </row>
    <row r="2017" spans="7:27" x14ac:dyDescent="0.45">
      <c r="G2017"/>
      <c r="H2017"/>
      <c r="I2017"/>
      <c r="J2017"/>
      <c r="M2017"/>
      <c r="O2017"/>
      <c r="Q2017"/>
      <c r="R2017"/>
      <c r="S2017"/>
      <c r="T2017"/>
      <c r="U2017"/>
      <c r="V2017"/>
      <c r="Z2017"/>
      <c r="AA2017"/>
    </row>
    <row r="2018" spans="7:27" x14ac:dyDescent="0.45">
      <c r="G2018"/>
      <c r="H2018"/>
      <c r="I2018"/>
      <c r="J2018"/>
      <c r="M2018"/>
      <c r="O2018"/>
      <c r="Q2018"/>
      <c r="R2018"/>
      <c r="S2018"/>
      <c r="T2018"/>
      <c r="U2018"/>
      <c r="V2018"/>
      <c r="Z2018"/>
      <c r="AA2018"/>
    </row>
    <row r="2019" spans="7:27" x14ac:dyDescent="0.45">
      <c r="G2019"/>
      <c r="H2019"/>
      <c r="I2019"/>
      <c r="J2019"/>
      <c r="M2019"/>
      <c r="O2019"/>
      <c r="Q2019"/>
      <c r="R2019"/>
      <c r="S2019"/>
      <c r="T2019"/>
      <c r="U2019"/>
      <c r="V2019"/>
      <c r="Z2019"/>
      <c r="AA2019"/>
    </row>
    <row r="2020" spans="7:27" x14ac:dyDescent="0.45">
      <c r="G2020"/>
      <c r="H2020"/>
      <c r="I2020"/>
      <c r="J2020"/>
      <c r="M2020"/>
      <c r="O2020"/>
      <c r="Q2020"/>
      <c r="R2020"/>
      <c r="S2020"/>
      <c r="T2020"/>
      <c r="U2020"/>
      <c r="V2020"/>
      <c r="Z2020"/>
      <c r="AA2020"/>
    </row>
    <row r="2021" spans="7:27" x14ac:dyDescent="0.45">
      <c r="G2021"/>
      <c r="H2021"/>
      <c r="I2021"/>
      <c r="J2021"/>
      <c r="M2021"/>
      <c r="O2021"/>
      <c r="Q2021"/>
      <c r="R2021"/>
      <c r="S2021"/>
      <c r="T2021"/>
      <c r="U2021"/>
      <c r="V2021"/>
      <c r="Z2021"/>
      <c r="AA2021"/>
    </row>
    <row r="2022" spans="7:27" x14ac:dyDescent="0.45">
      <c r="G2022"/>
      <c r="H2022"/>
      <c r="I2022"/>
      <c r="J2022"/>
      <c r="M2022"/>
      <c r="O2022"/>
      <c r="Q2022"/>
      <c r="R2022"/>
      <c r="S2022"/>
      <c r="T2022"/>
      <c r="U2022"/>
      <c r="V2022"/>
      <c r="Z2022"/>
      <c r="AA2022"/>
    </row>
    <row r="2023" spans="7:27" x14ac:dyDescent="0.45">
      <c r="G2023"/>
      <c r="H2023"/>
      <c r="I2023"/>
      <c r="J2023"/>
      <c r="M2023"/>
      <c r="O2023"/>
      <c r="Q2023"/>
      <c r="R2023"/>
      <c r="S2023"/>
      <c r="T2023"/>
      <c r="U2023"/>
      <c r="V2023"/>
      <c r="Z2023"/>
      <c r="AA2023"/>
    </row>
    <row r="2024" spans="7:27" x14ac:dyDescent="0.45">
      <c r="G2024"/>
      <c r="H2024"/>
      <c r="I2024"/>
      <c r="J2024"/>
      <c r="M2024"/>
      <c r="O2024"/>
      <c r="Q2024"/>
      <c r="R2024"/>
      <c r="S2024"/>
      <c r="T2024"/>
      <c r="U2024"/>
      <c r="V2024"/>
      <c r="Z2024"/>
      <c r="AA2024"/>
    </row>
    <row r="2025" spans="7:27" x14ac:dyDescent="0.45">
      <c r="G2025"/>
      <c r="H2025"/>
      <c r="I2025"/>
      <c r="J2025"/>
      <c r="M2025"/>
      <c r="O2025"/>
      <c r="Q2025"/>
      <c r="R2025"/>
      <c r="S2025"/>
      <c r="T2025"/>
      <c r="U2025"/>
      <c r="V2025"/>
      <c r="Z2025"/>
      <c r="AA2025"/>
    </row>
    <row r="2026" spans="7:27" x14ac:dyDescent="0.45">
      <c r="G2026"/>
      <c r="H2026"/>
      <c r="I2026"/>
      <c r="J2026"/>
      <c r="M2026"/>
      <c r="O2026"/>
      <c r="Q2026"/>
      <c r="R2026"/>
      <c r="S2026"/>
      <c r="T2026"/>
      <c r="U2026"/>
      <c r="V2026"/>
      <c r="Z2026"/>
      <c r="AA2026"/>
    </row>
    <row r="2027" spans="7:27" x14ac:dyDescent="0.45">
      <c r="G2027"/>
      <c r="H2027"/>
      <c r="I2027"/>
      <c r="J2027"/>
      <c r="M2027"/>
      <c r="O2027"/>
      <c r="Q2027"/>
      <c r="R2027"/>
      <c r="S2027"/>
      <c r="T2027"/>
      <c r="U2027"/>
      <c r="V2027"/>
      <c r="Z2027"/>
      <c r="AA2027"/>
    </row>
    <row r="2028" spans="7:27" x14ac:dyDescent="0.45">
      <c r="G2028"/>
      <c r="H2028"/>
      <c r="I2028"/>
      <c r="J2028"/>
      <c r="M2028"/>
      <c r="O2028"/>
      <c r="Q2028"/>
      <c r="R2028"/>
      <c r="S2028"/>
      <c r="T2028"/>
      <c r="U2028"/>
      <c r="V2028"/>
      <c r="Z2028"/>
      <c r="AA2028"/>
    </row>
    <row r="2029" spans="7:27" x14ac:dyDescent="0.45">
      <c r="G2029"/>
      <c r="H2029"/>
      <c r="I2029"/>
      <c r="J2029"/>
      <c r="M2029"/>
      <c r="O2029"/>
      <c r="Q2029"/>
      <c r="R2029"/>
      <c r="S2029"/>
      <c r="T2029"/>
      <c r="U2029"/>
      <c r="V2029"/>
      <c r="Z2029"/>
      <c r="AA2029"/>
    </row>
    <row r="2030" spans="7:27" x14ac:dyDescent="0.45">
      <c r="G2030"/>
      <c r="H2030"/>
      <c r="I2030"/>
      <c r="J2030"/>
      <c r="M2030"/>
      <c r="O2030"/>
      <c r="Q2030"/>
      <c r="R2030"/>
      <c r="S2030"/>
      <c r="T2030"/>
      <c r="U2030"/>
      <c r="V2030"/>
      <c r="Z2030"/>
      <c r="AA2030"/>
    </row>
    <row r="2031" spans="7:27" x14ac:dyDescent="0.45">
      <c r="G2031"/>
      <c r="H2031"/>
      <c r="I2031"/>
      <c r="J2031"/>
      <c r="M2031"/>
      <c r="O2031"/>
      <c r="Q2031"/>
      <c r="R2031"/>
      <c r="S2031"/>
      <c r="T2031"/>
      <c r="U2031"/>
      <c r="V2031"/>
      <c r="Z2031"/>
      <c r="AA2031"/>
    </row>
    <row r="2032" spans="7:27" x14ac:dyDescent="0.45">
      <c r="G2032"/>
      <c r="H2032"/>
      <c r="I2032"/>
      <c r="J2032"/>
      <c r="M2032"/>
      <c r="O2032"/>
      <c r="Q2032"/>
      <c r="R2032"/>
      <c r="S2032"/>
      <c r="T2032"/>
      <c r="U2032"/>
      <c r="V2032"/>
      <c r="Z2032"/>
      <c r="AA2032"/>
    </row>
    <row r="2033" spans="7:27" x14ac:dyDescent="0.45">
      <c r="G2033"/>
      <c r="H2033"/>
      <c r="I2033"/>
      <c r="J2033"/>
      <c r="M2033"/>
      <c r="O2033"/>
      <c r="Q2033"/>
      <c r="R2033"/>
      <c r="S2033"/>
      <c r="T2033"/>
      <c r="U2033"/>
      <c r="V2033"/>
      <c r="Z2033"/>
      <c r="AA2033"/>
    </row>
    <row r="2034" spans="7:27" x14ac:dyDescent="0.45">
      <c r="G2034"/>
      <c r="H2034"/>
      <c r="I2034"/>
      <c r="J2034"/>
      <c r="M2034"/>
      <c r="O2034"/>
      <c r="Q2034"/>
      <c r="R2034"/>
      <c r="S2034"/>
      <c r="T2034"/>
      <c r="U2034"/>
      <c r="V2034"/>
      <c r="Z2034"/>
      <c r="AA2034"/>
    </row>
    <row r="2035" spans="7:27" x14ac:dyDescent="0.45">
      <c r="G2035"/>
      <c r="H2035"/>
      <c r="I2035"/>
      <c r="J2035"/>
      <c r="M2035"/>
      <c r="O2035"/>
      <c r="Q2035"/>
      <c r="R2035"/>
      <c r="S2035"/>
      <c r="T2035"/>
      <c r="U2035"/>
      <c r="V2035"/>
      <c r="Z2035"/>
      <c r="AA2035"/>
    </row>
    <row r="2036" spans="7:27" x14ac:dyDescent="0.45">
      <c r="G2036"/>
      <c r="H2036"/>
      <c r="I2036"/>
      <c r="J2036"/>
      <c r="M2036"/>
      <c r="O2036"/>
      <c r="Q2036"/>
      <c r="R2036"/>
      <c r="S2036"/>
      <c r="T2036"/>
      <c r="U2036"/>
      <c r="V2036"/>
      <c r="Z2036"/>
      <c r="AA2036"/>
    </row>
    <row r="2037" spans="7:27" x14ac:dyDescent="0.45">
      <c r="G2037"/>
      <c r="H2037"/>
      <c r="I2037"/>
      <c r="J2037"/>
      <c r="M2037"/>
      <c r="O2037"/>
      <c r="Q2037"/>
      <c r="R2037"/>
      <c r="S2037"/>
      <c r="T2037"/>
      <c r="U2037"/>
      <c r="V2037"/>
      <c r="Z2037"/>
      <c r="AA2037"/>
    </row>
    <row r="2038" spans="7:27" x14ac:dyDescent="0.45">
      <c r="G2038"/>
      <c r="H2038"/>
      <c r="I2038"/>
      <c r="J2038"/>
      <c r="M2038"/>
      <c r="O2038"/>
      <c r="Q2038"/>
      <c r="R2038"/>
      <c r="S2038"/>
      <c r="T2038"/>
      <c r="U2038"/>
      <c r="V2038"/>
      <c r="Z2038"/>
      <c r="AA2038"/>
    </row>
    <row r="2039" spans="7:27" x14ac:dyDescent="0.45">
      <c r="G2039"/>
      <c r="H2039"/>
      <c r="I2039"/>
      <c r="J2039"/>
      <c r="M2039"/>
      <c r="O2039"/>
      <c r="Q2039"/>
      <c r="R2039"/>
      <c r="S2039"/>
      <c r="T2039"/>
      <c r="U2039"/>
      <c r="V2039"/>
      <c r="Z2039"/>
      <c r="AA2039"/>
    </row>
    <row r="2040" spans="7:27" x14ac:dyDescent="0.45">
      <c r="G2040"/>
      <c r="H2040"/>
      <c r="I2040"/>
      <c r="J2040"/>
      <c r="M2040"/>
      <c r="O2040"/>
      <c r="Q2040"/>
      <c r="R2040"/>
      <c r="S2040"/>
      <c r="T2040"/>
      <c r="U2040"/>
      <c r="V2040"/>
      <c r="Z2040"/>
      <c r="AA2040"/>
    </row>
    <row r="2041" spans="7:27" x14ac:dyDescent="0.45">
      <c r="G2041"/>
      <c r="H2041"/>
      <c r="I2041"/>
      <c r="J2041"/>
      <c r="M2041"/>
      <c r="O2041"/>
      <c r="Q2041"/>
      <c r="R2041"/>
      <c r="S2041"/>
      <c r="T2041"/>
      <c r="U2041"/>
      <c r="V2041"/>
      <c r="Z2041"/>
      <c r="AA2041"/>
    </row>
    <row r="2042" spans="7:27" x14ac:dyDescent="0.45">
      <c r="G2042"/>
      <c r="H2042"/>
      <c r="I2042"/>
      <c r="J2042"/>
      <c r="M2042"/>
      <c r="O2042"/>
      <c r="Q2042"/>
      <c r="R2042"/>
      <c r="S2042"/>
      <c r="T2042"/>
      <c r="U2042"/>
      <c r="V2042"/>
      <c r="Z2042"/>
      <c r="AA2042"/>
    </row>
    <row r="2043" spans="7:27" x14ac:dyDescent="0.45">
      <c r="G2043"/>
      <c r="H2043"/>
      <c r="I2043"/>
      <c r="J2043"/>
      <c r="M2043"/>
      <c r="O2043"/>
      <c r="Q2043"/>
      <c r="R2043"/>
      <c r="S2043"/>
      <c r="T2043"/>
      <c r="U2043"/>
      <c r="V2043"/>
      <c r="Z2043"/>
      <c r="AA2043"/>
    </row>
    <row r="2044" spans="7:27" x14ac:dyDescent="0.45">
      <c r="G2044"/>
      <c r="H2044"/>
      <c r="I2044"/>
      <c r="J2044"/>
      <c r="M2044"/>
      <c r="O2044"/>
      <c r="Q2044"/>
      <c r="R2044"/>
      <c r="S2044"/>
      <c r="T2044"/>
      <c r="U2044"/>
      <c r="V2044"/>
      <c r="Z2044"/>
      <c r="AA2044"/>
    </row>
    <row r="2045" spans="7:27" x14ac:dyDescent="0.45">
      <c r="G2045"/>
      <c r="H2045"/>
      <c r="I2045"/>
      <c r="J2045"/>
      <c r="M2045"/>
      <c r="O2045"/>
      <c r="Q2045"/>
      <c r="R2045"/>
      <c r="S2045"/>
      <c r="T2045"/>
      <c r="U2045"/>
      <c r="V2045"/>
      <c r="Z2045"/>
      <c r="AA2045"/>
    </row>
    <row r="2046" spans="7:27" x14ac:dyDescent="0.45">
      <c r="G2046"/>
      <c r="H2046"/>
      <c r="I2046"/>
      <c r="J2046"/>
      <c r="M2046"/>
      <c r="O2046"/>
      <c r="Q2046"/>
      <c r="R2046"/>
      <c r="S2046"/>
      <c r="T2046"/>
      <c r="U2046"/>
      <c r="V2046"/>
      <c r="Z2046"/>
      <c r="AA2046"/>
    </row>
    <row r="2047" spans="7:27" x14ac:dyDescent="0.45">
      <c r="G2047"/>
      <c r="H2047"/>
      <c r="I2047"/>
      <c r="J2047"/>
      <c r="M2047"/>
      <c r="O2047"/>
      <c r="Q2047"/>
      <c r="R2047"/>
      <c r="S2047"/>
      <c r="T2047"/>
      <c r="U2047"/>
      <c r="V2047"/>
      <c r="Z2047"/>
      <c r="AA2047"/>
    </row>
    <row r="2048" spans="7:27" x14ac:dyDescent="0.45">
      <c r="G2048"/>
      <c r="H2048"/>
      <c r="I2048"/>
      <c r="J2048"/>
      <c r="M2048"/>
      <c r="O2048"/>
      <c r="Q2048"/>
      <c r="R2048"/>
      <c r="S2048"/>
      <c r="T2048"/>
      <c r="U2048"/>
      <c r="V2048"/>
      <c r="Z2048"/>
      <c r="AA2048"/>
    </row>
    <row r="2049" spans="7:27" x14ac:dyDescent="0.45">
      <c r="G2049"/>
      <c r="H2049"/>
      <c r="I2049"/>
      <c r="J2049"/>
      <c r="M2049"/>
      <c r="O2049"/>
      <c r="Q2049"/>
      <c r="R2049"/>
      <c r="S2049"/>
      <c r="T2049"/>
      <c r="U2049"/>
      <c r="V2049"/>
      <c r="Z2049"/>
      <c r="AA2049"/>
    </row>
    <row r="2050" spans="7:27" x14ac:dyDescent="0.45">
      <c r="G2050"/>
      <c r="H2050"/>
      <c r="I2050"/>
      <c r="J2050"/>
      <c r="M2050"/>
      <c r="O2050"/>
      <c r="Q2050"/>
      <c r="R2050"/>
      <c r="S2050"/>
      <c r="T2050"/>
      <c r="U2050"/>
      <c r="V2050"/>
      <c r="Z2050"/>
      <c r="AA2050"/>
    </row>
    <row r="2051" spans="7:27" x14ac:dyDescent="0.45">
      <c r="G2051"/>
      <c r="H2051"/>
      <c r="I2051"/>
      <c r="J2051"/>
      <c r="M2051"/>
      <c r="O2051"/>
      <c r="Q2051"/>
      <c r="R2051"/>
      <c r="S2051"/>
      <c r="T2051"/>
      <c r="U2051"/>
      <c r="V2051"/>
      <c r="Z2051"/>
      <c r="AA2051"/>
    </row>
    <row r="2052" spans="7:27" x14ac:dyDescent="0.45">
      <c r="G2052"/>
      <c r="H2052"/>
      <c r="I2052"/>
      <c r="J2052"/>
      <c r="M2052"/>
      <c r="O2052"/>
      <c r="Q2052"/>
      <c r="R2052"/>
      <c r="S2052"/>
      <c r="T2052"/>
      <c r="U2052"/>
      <c r="V2052"/>
      <c r="Z2052"/>
      <c r="AA2052"/>
    </row>
    <row r="2053" spans="7:27" x14ac:dyDescent="0.45">
      <c r="G2053"/>
      <c r="H2053"/>
      <c r="I2053"/>
      <c r="J2053"/>
      <c r="M2053"/>
      <c r="O2053"/>
      <c r="Q2053"/>
      <c r="R2053"/>
      <c r="S2053"/>
      <c r="T2053"/>
      <c r="U2053"/>
      <c r="V2053"/>
      <c r="Z2053"/>
      <c r="AA2053"/>
    </row>
    <row r="2054" spans="7:27" x14ac:dyDescent="0.45">
      <c r="G2054"/>
      <c r="H2054"/>
      <c r="I2054"/>
      <c r="J2054"/>
      <c r="M2054"/>
      <c r="O2054"/>
      <c r="Q2054"/>
      <c r="R2054"/>
      <c r="S2054"/>
      <c r="T2054"/>
      <c r="U2054"/>
      <c r="V2054"/>
      <c r="Z2054"/>
      <c r="AA2054"/>
    </row>
    <row r="2055" spans="7:27" x14ac:dyDescent="0.45">
      <c r="G2055"/>
      <c r="H2055"/>
      <c r="I2055"/>
      <c r="J2055"/>
      <c r="M2055"/>
      <c r="O2055"/>
      <c r="Q2055"/>
      <c r="R2055"/>
      <c r="S2055"/>
      <c r="T2055"/>
      <c r="U2055"/>
      <c r="V2055"/>
      <c r="Z2055"/>
      <c r="AA2055"/>
    </row>
    <row r="2056" spans="7:27" x14ac:dyDescent="0.45">
      <c r="G2056"/>
      <c r="H2056"/>
      <c r="I2056"/>
      <c r="J2056"/>
      <c r="M2056"/>
      <c r="O2056"/>
      <c r="Q2056"/>
      <c r="R2056"/>
      <c r="S2056"/>
      <c r="T2056"/>
      <c r="U2056"/>
      <c r="V2056"/>
      <c r="Z2056"/>
      <c r="AA2056"/>
    </row>
    <row r="2057" spans="7:27" x14ac:dyDescent="0.45">
      <c r="G2057"/>
      <c r="H2057"/>
      <c r="I2057"/>
      <c r="J2057"/>
      <c r="M2057"/>
      <c r="O2057"/>
      <c r="Q2057"/>
      <c r="R2057"/>
      <c r="S2057"/>
      <c r="T2057"/>
      <c r="U2057"/>
      <c r="V2057"/>
      <c r="Z2057"/>
      <c r="AA2057"/>
    </row>
    <row r="2058" spans="7:27" x14ac:dyDescent="0.45">
      <c r="G2058"/>
      <c r="H2058"/>
      <c r="I2058"/>
      <c r="J2058"/>
      <c r="M2058"/>
      <c r="O2058"/>
      <c r="Q2058"/>
      <c r="R2058"/>
      <c r="S2058"/>
      <c r="T2058"/>
      <c r="U2058"/>
      <c r="V2058"/>
      <c r="Z2058"/>
      <c r="AA2058"/>
    </row>
    <row r="2059" spans="7:27" x14ac:dyDescent="0.45">
      <c r="G2059"/>
      <c r="H2059"/>
      <c r="I2059"/>
      <c r="J2059"/>
      <c r="M2059"/>
      <c r="O2059"/>
      <c r="Q2059"/>
      <c r="R2059"/>
      <c r="S2059"/>
      <c r="T2059"/>
      <c r="U2059"/>
      <c r="V2059"/>
      <c r="Z2059"/>
      <c r="AA2059"/>
    </row>
    <row r="2060" spans="7:27" x14ac:dyDescent="0.45">
      <c r="G2060"/>
      <c r="H2060"/>
      <c r="I2060"/>
      <c r="J2060"/>
      <c r="M2060"/>
      <c r="O2060"/>
      <c r="Q2060"/>
      <c r="R2060"/>
      <c r="S2060"/>
      <c r="T2060"/>
      <c r="U2060"/>
      <c r="V2060"/>
      <c r="Z2060"/>
      <c r="AA2060"/>
    </row>
    <row r="2061" spans="7:27" x14ac:dyDescent="0.45">
      <c r="G2061"/>
      <c r="H2061"/>
      <c r="I2061"/>
      <c r="J2061"/>
      <c r="M2061"/>
      <c r="O2061"/>
      <c r="Q2061"/>
      <c r="R2061"/>
      <c r="S2061"/>
      <c r="T2061"/>
      <c r="U2061"/>
      <c r="V2061"/>
      <c r="Z2061"/>
      <c r="AA2061"/>
    </row>
    <row r="2062" spans="7:27" x14ac:dyDescent="0.45">
      <c r="G2062"/>
      <c r="H2062"/>
      <c r="I2062"/>
      <c r="J2062"/>
      <c r="M2062"/>
      <c r="O2062"/>
      <c r="Q2062"/>
      <c r="R2062"/>
      <c r="S2062"/>
      <c r="T2062"/>
      <c r="U2062"/>
      <c r="V2062"/>
      <c r="Z2062"/>
      <c r="AA2062"/>
    </row>
    <row r="2063" spans="7:27" x14ac:dyDescent="0.45">
      <c r="G2063"/>
      <c r="H2063"/>
      <c r="I2063"/>
      <c r="J2063"/>
      <c r="M2063"/>
      <c r="O2063"/>
      <c r="Q2063"/>
      <c r="R2063"/>
      <c r="S2063"/>
      <c r="T2063"/>
      <c r="U2063"/>
      <c r="V2063"/>
      <c r="Z2063"/>
      <c r="AA2063"/>
    </row>
    <row r="2064" spans="7:27" x14ac:dyDescent="0.45">
      <c r="G2064"/>
      <c r="H2064"/>
      <c r="I2064"/>
      <c r="J2064"/>
      <c r="M2064"/>
      <c r="O2064"/>
      <c r="Q2064"/>
      <c r="R2064"/>
      <c r="S2064"/>
      <c r="T2064"/>
      <c r="U2064"/>
      <c r="V2064"/>
      <c r="Z2064"/>
      <c r="AA2064"/>
    </row>
    <row r="2065" spans="7:27" x14ac:dyDescent="0.45">
      <c r="G2065"/>
      <c r="H2065"/>
      <c r="I2065"/>
      <c r="J2065"/>
      <c r="M2065"/>
      <c r="O2065"/>
      <c r="Q2065"/>
      <c r="R2065"/>
      <c r="S2065"/>
      <c r="T2065"/>
      <c r="U2065"/>
      <c r="V2065"/>
      <c r="Z2065"/>
      <c r="AA2065"/>
    </row>
    <row r="2066" spans="7:27" x14ac:dyDescent="0.45">
      <c r="G2066"/>
      <c r="H2066"/>
      <c r="I2066"/>
      <c r="J2066"/>
      <c r="M2066"/>
      <c r="O2066"/>
      <c r="Q2066"/>
      <c r="R2066"/>
      <c r="S2066"/>
      <c r="T2066"/>
      <c r="U2066"/>
      <c r="V2066"/>
      <c r="Z2066"/>
      <c r="AA2066"/>
    </row>
    <row r="2067" spans="7:27" x14ac:dyDescent="0.45">
      <c r="G2067"/>
      <c r="H2067"/>
      <c r="I2067"/>
      <c r="J2067"/>
      <c r="M2067"/>
      <c r="O2067"/>
      <c r="Q2067"/>
      <c r="R2067"/>
      <c r="S2067"/>
      <c r="T2067"/>
      <c r="U2067"/>
      <c r="V2067"/>
      <c r="Z2067"/>
      <c r="AA2067"/>
    </row>
    <row r="2068" spans="7:27" x14ac:dyDescent="0.45">
      <c r="G2068"/>
      <c r="H2068"/>
      <c r="I2068"/>
      <c r="J2068"/>
      <c r="M2068"/>
      <c r="O2068"/>
      <c r="Q2068"/>
      <c r="R2068"/>
      <c r="S2068"/>
      <c r="T2068"/>
      <c r="U2068"/>
      <c r="V2068"/>
      <c r="Z2068"/>
      <c r="AA2068"/>
    </row>
    <row r="2069" spans="7:27" x14ac:dyDescent="0.45">
      <c r="G2069"/>
      <c r="H2069"/>
      <c r="I2069"/>
      <c r="J2069"/>
      <c r="M2069"/>
      <c r="O2069"/>
      <c r="Q2069"/>
      <c r="R2069"/>
      <c r="S2069"/>
      <c r="T2069"/>
      <c r="U2069"/>
      <c r="V2069"/>
      <c r="Z2069"/>
      <c r="AA2069"/>
    </row>
    <row r="2070" spans="7:27" x14ac:dyDescent="0.45">
      <c r="G2070"/>
      <c r="H2070"/>
      <c r="I2070"/>
      <c r="J2070"/>
      <c r="M2070"/>
      <c r="O2070"/>
      <c r="Q2070"/>
      <c r="R2070"/>
      <c r="S2070"/>
      <c r="T2070"/>
      <c r="U2070"/>
      <c r="V2070"/>
      <c r="Z2070"/>
      <c r="AA2070"/>
    </row>
    <row r="2071" spans="7:27" x14ac:dyDescent="0.45">
      <c r="G2071"/>
      <c r="H2071"/>
      <c r="I2071"/>
      <c r="J2071"/>
      <c r="M2071"/>
      <c r="O2071"/>
      <c r="Q2071"/>
      <c r="R2071"/>
      <c r="S2071"/>
      <c r="T2071"/>
      <c r="U2071"/>
      <c r="V2071"/>
      <c r="Z2071"/>
      <c r="AA2071"/>
    </row>
    <row r="2072" spans="7:27" x14ac:dyDescent="0.45">
      <c r="G2072"/>
      <c r="H2072"/>
      <c r="I2072"/>
      <c r="J2072"/>
      <c r="M2072"/>
      <c r="O2072"/>
      <c r="Q2072"/>
      <c r="R2072"/>
      <c r="S2072"/>
      <c r="T2072"/>
      <c r="U2072"/>
      <c r="V2072"/>
      <c r="Z2072"/>
      <c r="AA2072"/>
    </row>
    <row r="2073" spans="7:27" x14ac:dyDescent="0.45">
      <c r="G2073"/>
      <c r="H2073"/>
      <c r="I2073"/>
      <c r="J2073"/>
      <c r="M2073"/>
      <c r="O2073"/>
      <c r="Q2073"/>
      <c r="R2073"/>
      <c r="S2073"/>
      <c r="T2073"/>
      <c r="U2073"/>
      <c r="V2073"/>
      <c r="Z2073"/>
      <c r="AA2073"/>
    </row>
    <row r="2074" spans="7:27" x14ac:dyDescent="0.45">
      <c r="G2074"/>
      <c r="H2074"/>
      <c r="I2074"/>
      <c r="J2074"/>
      <c r="M2074"/>
      <c r="O2074"/>
      <c r="Q2074"/>
      <c r="R2074"/>
      <c r="S2074"/>
      <c r="T2074"/>
      <c r="U2074"/>
      <c r="V2074"/>
      <c r="Z2074"/>
      <c r="AA2074"/>
    </row>
    <row r="2075" spans="7:27" x14ac:dyDescent="0.45">
      <c r="G2075"/>
      <c r="H2075"/>
      <c r="I2075"/>
      <c r="J2075"/>
      <c r="M2075"/>
      <c r="O2075"/>
      <c r="Q2075"/>
      <c r="R2075"/>
      <c r="S2075"/>
      <c r="T2075"/>
      <c r="U2075"/>
      <c r="V2075"/>
      <c r="Z2075"/>
      <c r="AA2075"/>
    </row>
    <row r="2076" spans="7:27" x14ac:dyDescent="0.45">
      <c r="G2076"/>
      <c r="H2076"/>
      <c r="I2076"/>
      <c r="J2076"/>
      <c r="M2076"/>
      <c r="O2076"/>
      <c r="Q2076"/>
      <c r="R2076"/>
      <c r="S2076"/>
      <c r="T2076"/>
      <c r="U2076"/>
      <c r="V2076"/>
      <c r="Z2076"/>
      <c r="AA2076"/>
    </row>
    <row r="2077" spans="7:27" x14ac:dyDescent="0.45">
      <c r="G2077"/>
      <c r="H2077"/>
      <c r="I2077"/>
      <c r="J2077"/>
      <c r="M2077"/>
      <c r="O2077"/>
      <c r="Q2077"/>
      <c r="R2077"/>
      <c r="S2077"/>
      <c r="T2077"/>
      <c r="U2077"/>
      <c r="V2077"/>
      <c r="Z2077"/>
      <c r="AA2077"/>
    </row>
    <row r="2078" spans="7:27" x14ac:dyDescent="0.45">
      <c r="G2078"/>
      <c r="H2078"/>
      <c r="I2078"/>
      <c r="J2078"/>
      <c r="M2078"/>
      <c r="O2078"/>
      <c r="Q2078"/>
      <c r="R2078"/>
      <c r="S2078"/>
      <c r="T2078"/>
      <c r="U2078"/>
      <c r="V2078"/>
      <c r="Z2078"/>
      <c r="AA2078"/>
    </row>
    <row r="2079" spans="7:27" x14ac:dyDescent="0.45">
      <c r="G2079"/>
      <c r="H2079"/>
      <c r="I2079"/>
      <c r="J2079"/>
      <c r="M2079"/>
      <c r="O2079"/>
      <c r="Q2079"/>
      <c r="R2079"/>
      <c r="S2079"/>
      <c r="T2079"/>
      <c r="U2079"/>
      <c r="V2079"/>
      <c r="Z2079"/>
      <c r="AA2079"/>
    </row>
    <row r="2080" spans="7:27" x14ac:dyDescent="0.45">
      <c r="G2080"/>
      <c r="H2080"/>
      <c r="I2080"/>
      <c r="J2080"/>
      <c r="M2080"/>
      <c r="O2080"/>
      <c r="Q2080"/>
      <c r="R2080"/>
      <c r="S2080"/>
      <c r="T2080"/>
      <c r="U2080"/>
      <c r="V2080"/>
      <c r="Z2080"/>
      <c r="AA2080"/>
    </row>
    <row r="2081" spans="7:27" x14ac:dyDescent="0.45">
      <c r="G2081"/>
      <c r="H2081"/>
      <c r="I2081"/>
      <c r="J2081"/>
      <c r="M2081"/>
      <c r="O2081"/>
      <c r="Q2081"/>
      <c r="R2081"/>
      <c r="S2081"/>
      <c r="T2081"/>
      <c r="U2081"/>
      <c r="V2081"/>
      <c r="Z2081"/>
      <c r="AA2081"/>
    </row>
    <row r="2082" spans="7:27" x14ac:dyDescent="0.45">
      <c r="G2082"/>
      <c r="H2082"/>
      <c r="I2082"/>
      <c r="J2082"/>
      <c r="M2082"/>
      <c r="O2082"/>
      <c r="Q2082"/>
      <c r="R2082"/>
      <c r="S2082"/>
      <c r="T2082"/>
      <c r="U2082"/>
      <c r="V2082"/>
      <c r="Z2082"/>
      <c r="AA2082"/>
    </row>
    <row r="2083" spans="7:27" x14ac:dyDescent="0.45">
      <c r="G2083"/>
      <c r="H2083"/>
      <c r="I2083"/>
      <c r="J2083"/>
      <c r="M2083"/>
      <c r="O2083"/>
      <c r="Q2083"/>
      <c r="R2083"/>
      <c r="S2083"/>
      <c r="T2083"/>
      <c r="U2083"/>
      <c r="V2083"/>
      <c r="Z2083"/>
      <c r="AA2083"/>
    </row>
    <row r="2084" spans="7:27" x14ac:dyDescent="0.45">
      <c r="G2084"/>
      <c r="H2084"/>
      <c r="I2084"/>
      <c r="J2084"/>
      <c r="M2084"/>
      <c r="O2084"/>
      <c r="Q2084"/>
      <c r="R2084"/>
      <c r="S2084"/>
      <c r="T2084"/>
      <c r="U2084"/>
      <c r="V2084"/>
      <c r="Z2084"/>
      <c r="AA2084"/>
    </row>
    <row r="2085" spans="7:27" x14ac:dyDescent="0.45">
      <c r="G2085"/>
      <c r="H2085"/>
      <c r="I2085"/>
      <c r="J2085"/>
      <c r="M2085"/>
      <c r="O2085"/>
      <c r="Q2085"/>
      <c r="R2085"/>
      <c r="S2085"/>
      <c r="T2085"/>
      <c r="U2085"/>
      <c r="V2085"/>
      <c r="Z2085"/>
      <c r="AA2085"/>
    </row>
    <row r="2086" spans="7:27" x14ac:dyDescent="0.45">
      <c r="G2086"/>
      <c r="H2086"/>
      <c r="I2086"/>
      <c r="J2086"/>
      <c r="M2086"/>
      <c r="O2086"/>
      <c r="Q2086"/>
      <c r="R2086"/>
      <c r="S2086"/>
      <c r="T2086"/>
      <c r="U2086"/>
      <c r="V2086"/>
      <c r="Z2086"/>
      <c r="AA2086"/>
    </row>
    <row r="2087" spans="7:27" x14ac:dyDescent="0.45">
      <c r="G2087"/>
      <c r="H2087"/>
      <c r="I2087"/>
      <c r="J2087"/>
      <c r="M2087"/>
      <c r="O2087"/>
      <c r="Q2087"/>
      <c r="R2087"/>
      <c r="S2087"/>
      <c r="T2087"/>
      <c r="U2087"/>
      <c r="V2087"/>
      <c r="Z2087"/>
      <c r="AA2087"/>
    </row>
    <row r="2088" spans="7:27" x14ac:dyDescent="0.45">
      <c r="G2088"/>
      <c r="H2088"/>
      <c r="I2088"/>
      <c r="J2088"/>
      <c r="M2088"/>
      <c r="O2088"/>
      <c r="Q2088"/>
      <c r="R2088"/>
      <c r="S2088"/>
      <c r="T2088"/>
      <c r="U2088"/>
      <c r="V2088"/>
      <c r="Z2088"/>
      <c r="AA2088"/>
    </row>
    <row r="2089" spans="7:27" x14ac:dyDescent="0.45">
      <c r="G2089"/>
      <c r="H2089"/>
      <c r="I2089"/>
      <c r="J2089"/>
      <c r="M2089"/>
      <c r="O2089"/>
      <c r="Q2089"/>
      <c r="R2089"/>
      <c r="S2089"/>
      <c r="T2089"/>
      <c r="U2089"/>
      <c r="V2089"/>
      <c r="Z2089"/>
      <c r="AA2089"/>
    </row>
    <row r="2090" spans="7:27" x14ac:dyDescent="0.45">
      <c r="G2090"/>
      <c r="H2090"/>
      <c r="I2090"/>
      <c r="J2090"/>
      <c r="M2090"/>
      <c r="O2090"/>
      <c r="Q2090"/>
      <c r="R2090"/>
      <c r="S2090"/>
      <c r="T2090"/>
      <c r="U2090"/>
      <c r="V2090"/>
      <c r="Z2090"/>
      <c r="AA2090"/>
    </row>
    <row r="2091" spans="7:27" x14ac:dyDescent="0.45">
      <c r="G2091"/>
      <c r="H2091"/>
      <c r="I2091"/>
      <c r="J2091"/>
      <c r="M2091"/>
      <c r="O2091"/>
      <c r="Q2091"/>
      <c r="R2091"/>
      <c r="S2091"/>
      <c r="T2091"/>
      <c r="U2091"/>
      <c r="V2091"/>
      <c r="Z2091"/>
      <c r="AA2091"/>
    </row>
    <row r="2092" spans="7:27" x14ac:dyDescent="0.45">
      <c r="G2092"/>
      <c r="H2092"/>
      <c r="I2092"/>
      <c r="J2092"/>
      <c r="M2092"/>
      <c r="O2092"/>
      <c r="Q2092"/>
      <c r="R2092"/>
      <c r="S2092"/>
      <c r="T2092"/>
      <c r="U2092"/>
      <c r="V2092"/>
      <c r="Z2092"/>
      <c r="AA2092"/>
    </row>
    <row r="2093" spans="7:27" x14ac:dyDescent="0.45">
      <c r="G2093"/>
      <c r="H2093"/>
      <c r="I2093"/>
      <c r="J2093"/>
      <c r="M2093"/>
      <c r="O2093"/>
      <c r="Q2093"/>
      <c r="R2093"/>
      <c r="S2093"/>
      <c r="T2093"/>
      <c r="U2093"/>
      <c r="V2093"/>
      <c r="Z2093"/>
      <c r="AA2093"/>
    </row>
    <row r="2094" spans="7:27" x14ac:dyDescent="0.45">
      <c r="G2094"/>
      <c r="H2094"/>
      <c r="I2094"/>
      <c r="J2094"/>
      <c r="M2094"/>
      <c r="O2094"/>
      <c r="Q2094"/>
      <c r="R2094"/>
      <c r="S2094"/>
      <c r="T2094"/>
      <c r="U2094"/>
      <c r="V2094"/>
      <c r="Z2094"/>
      <c r="AA2094"/>
    </row>
    <row r="2095" spans="7:27" x14ac:dyDescent="0.45">
      <c r="G2095"/>
      <c r="H2095"/>
      <c r="I2095"/>
      <c r="J2095"/>
      <c r="M2095"/>
      <c r="O2095"/>
      <c r="Q2095"/>
      <c r="R2095"/>
      <c r="S2095"/>
      <c r="T2095"/>
      <c r="U2095"/>
      <c r="V2095"/>
      <c r="Z2095"/>
      <c r="AA2095"/>
    </row>
    <row r="2096" spans="7:27" x14ac:dyDescent="0.45">
      <c r="G2096"/>
      <c r="H2096"/>
      <c r="I2096"/>
      <c r="J2096"/>
      <c r="M2096"/>
      <c r="O2096"/>
      <c r="Q2096"/>
      <c r="R2096"/>
      <c r="S2096"/>
      <c r="T2096"/>
      <c r="U2096"/>
      <c r="V2096"/>
      <c r="Z2096"/>
      <c r="AA2096"/>
    </row>
    <row r="2097" spans="7:27" x14ac:dyDescent="0.45">
      <c r="G2097"/>
      <c r="H2097"/>
      <c r="I2097"/>
      <c r="J2097"/>
      <c r="M2097"/>
      <c r="O2097"/>
      <c r="Q2097"/>
      <c r="R2097"/>
      <c r="S2097"/>
      <c r="T2097"/>
      <c r="U2097"/>
      <c r="V2097"/>
      <c r="Z2097"/>
      <c r="AA2097"/>
    </row>
    <row r="2098" spans="7:27" x14ac:dyDescent="0.45">
      <c r="G2098"/>
      <c r="H2098"/>
      <c r="I2098"/>
      <c r="J2098"/>
      <c r="M2098"/>
      <c r="O2098"/>
      <c r="Q2098"/>
      <c r="R2098"/>
      <c r="S2098"/>
      <c r="T2098"/>
      <c r="U2098"/>
      <c r="V2098"/>
      <c r="Z2098"/>
      <c r="AA2098"/>
    </row>
    <row r="2099" spans="7:27" x14ac:dyDescent="0.45">
      <c r="G2099"/>
      <c r="H2099"/>
      <c r="I2099"/>
      <c r="J2099"/>
      <c r="M2099"/>
      <c r="O2099"/>
      <c r="Q2099"/>
      <c r="R2099"/>
      <c r="S2099"/>
      <c r="T2099"/>
      <c r="U2099"/>
      <c r="V2099"/>
      <c r="Z2099"/>
      <c r="AA2099"/>
    </row>
    <row r="2100" spans="7:27" x14ac:dyDescent="0.45">
      <c r="G2100"/>
      <c r="H2100"/>
      <c r="I2100"/>
      <c r="J2100"/>
      <c r="M2100"/>
      <c r="O2100"/>
      <c r="Q2100"/>
      <c r="R2100"/>
      <c r="S2100"/>
      <c r="T2100"/>
      <c r="U2100"/>
      <c r="V2100"/>
      <c r="Z2100"/>
      <c r="AA2100"/>
    </row>
    <row r="2101" spans="7:27" x14ac:dyDescent="0.45">
      <c r="G2101"/>
      <c r="H2101"/>
      <c r="I2101"/>
      <c r="J2101"/>
      <c r="M2101"/>
      <c r="O2101"/>
      <c r="Q2101"/>
      <c r="R2101"/>
      <c r="S2101"/>
      <c r="T2101"/>
      <c r="U2101"/>
      <c r="V2101"/>
      <c r="Z2101"/>
      <c r="AA2101"/>
    </row>
    <row r="2102" spans="7:27" x14ac:dyDescent="0.45">
      <c r="G2102"/>
      <c r="H2102"/>
      <c r="I2102"/>
      <c r="J2102"/>
      <c r="M2102"/>
      <c r="O2102"/>
      <c r="Q2102"/>
      <c r="R2102"/>
      <c r="S2102"/>
      <c r="T2102"/>
      <c r="U2102"/>
      <c r="V2102"/>
      <c r="Z2102"/>
      <c r="AA2102"/>
    </row>
    <row r="2103" spans="7:27" x14ac:dyDescent="0.45">
      <c r="G2103"/>
      <c r="H2103"/>
      <c r="I2103"/>
      <c r="J2103"/>
      <c r="M2103"/>
      <c r="O2103"/>
      <c r="Q2103"/>
      <c r="R2103"/>
      <c r="S2103"/>
      <c r="T2103"/>
      <c r="U2103"/>
      <c r="V2103"/>
      <c r="Z2103"/>
      <c r="AA2103"/>
    </row>
    <row r="2104" spans="7:27" x14ac:dyDescent="0.45">
      <c r="G2104"/>
      <c r="H2104"/>
      <c r="I2104"/>
      <c r="J2104"/>
      <c r="M2104"/>
      <c r="O2104"/>
      <c r="Q2104"/>
      <c r="R2104"/>
      <c r="S2104"/>
      <c r="T2104"/>
      <c r="U2104"/>
      <c r="V2104"/>
      <c r="Z2104"/>
      <c r="AA2104"/>
    </row>
    <row r="2105" spans="7:27" x14ac:dyDescent="0.45">
      <c r="G2105"/>
      <c r="H2105"/>
      <c r="I2105"/>
      <c r="J2105"/>
      <c r="M2105"/>
      <c r="O2105"/>
      <c r="Q2105"/>
      <c r="R2105"/>
      <c r="S2105"/>
      <c r="T2105"/>
      <c r="U2105"/>
      <c r="V2105"/>
      <c r="Z2105"/>
      <c r="AA2105"/>
    </row>
    <row r="2106" spans="7:27" x14ac:dyDescent="0.45">
      <c r="G2106"/>
      <c r="H2106"/>
      <c r="I2106"/>
      <c r="J2106"/>
      <c r="M2106"/>
      <c r="O2106"/>
      <c r="Q2106"/>
      <c r="R2106"/>
      <c r="S2106"/>
      <c r="T2106"/>
      <c r="U2106"/>
      <c r="V2106"/>
      <c r="Z2106"/>
      <c r="AA2106"/>
    </row>
    <row r="2107" spans="7:27" x14ac:dyDescent="0.45">
      <c r="G2107"/>
      <c r="H2107"/>
      <c r="I2107"/>
      <c r="J2107"/>
      <c r="M2107"/>
      <c r="O2107"/>
      <c r="Q2107"/>
      <c r="R2107"/>
      <c r="S2107"/>
      <c r="T2107"/>
      <c r="U2107"/>
      <c r="V2107"/>
      <c r="Z2107"/>
      <c r="AA2107"/>
    </row>
    <row r="2108" spans="7:27" x14ac:dyDescent="0.45">
      <c r="G2108"/>
      <c r="H2108"/>
      <c r="I2108"/>
      <c r="J2108"/>
      <c r="M2108"/>
      <c r="O2108"/>
      <c r="Q2108"/>
      <c r="R2108"/>
      <c r="S2108"/>
      <c r="T2108"/>
      <c r="U2108"/>
      <c r="V2108"/>
      <c r="Z2108"/>
      <c r="AA2108"/>
    </row>
    <row r="2109" spans="7:27" x14ac:dyDescent="0.45">
      <c r="G2109"/>
      <c r="H2109"/>
      <c r="I2109"/>
      <c r="J2109"/>
      <c r="M2109"/>
      <c r="O2109"/>
      <c r="Q2109"/>
      <c r="R2109"/>
      <c r="S2109"/>
      <c r="T2109"/>
      <c r="U2109"/>
      <c r="V2109"/>
      <c r="Z2109"/>
      <c r="AA2109"/>
    </row>
    <row r="2110" spans="7:27" x14ac:dyDescent="0.45">
      <c r="G2110"/>
      <c r="H2110"/>
      <c r="I2110"/>
      <c r="J2110"/>
      <c r="M2110"/>
      <c r="O2110"/>
      <c r="Q2110"/>
      <c r="R2110"/>
      <c r="S2110"/>
      <c r="T2110"/>
      <c r="U2110"/>
      <c r="V2110"/>
      <c r="Z2110"/>
      <c r="AA2110"/>
    </row>
    <row r="2111" spans="7:27" x14ac:dyDescent="0.45">
      <c r="G2111"/>
      <c r="H2111"/>
      <c r="I2111"/>
      <c r="J2111"/>
      <c r="M2111"/>
      <c r="O2111"/>
      <c r="Q2111"/>
      <c r="R2111"/>
      <c r="S2111"/>
      <c r="T2111"/>
      <c r="U2111"/>
      <c r="V2111"/>
      <c r="Z2111"/>
      <c r="AA2111"/>
    </row>
    <row r="2112" spans="7:27" x14ac:dyDescent="0.45">
      <c r="G2112"/>
      <c r="H2112"/>
      <c r="I2112"/>
      <c r="J2112"/>
      <c r="M2112"/>
      <c r="O2112"/>
      <c r="Q2112"/>
      <c r="R2112"/>
      <c r="S2112"/>
      <c r="T2112"/>
      <c r="U2112"/>
      <c r="V2112"/>
      <c r="Z2112"/>
      <c r="AA2112"/>
    </row>
    <row r="2113" spans="7:27" x14ac:dyDescent="0.45">
      <c r="G2113"/>
      <c r="H2113"/>
      <c r="I2113"/>
      <c r="J2113"/>
      <c r="M2113"/>
      <c r="O2113"/>
      <c r="Q2113"/>
      <c r="R2113"/>
      <c r="S2113"/>
      <c r="T2113"/>
      <c r="U2113"/>
      <c r="V2113"/>
      <c r="Z2113"/>
      <c r="AA2113"/>
    </row>
    <row r="2114" spans="7:27" x14ac:dyDescent="0.45">
      <c r="G2114"/>
      <c r="H2114"/>
      <c r="I2114"/>
      <c r="J2114"/>
      <c r="M2114"/>
      <c r="O2114"/>
      <c r="Q2114"/>
      <c r="R2114"/>
      <c r="S2114"/>
      <c r="T2114"/>
      <c r="U2114"/>
      <c r="V2114"/>
      <c r="Z2114"/>
      <c r="AA2114"/>
    </row>
    <row r="2115" spans="7:27" x14ac:dyDescent="0.45">
      <c r="G2115"/>
      <c r="H2115"/>
      <c r="I2115"/>
      <c r="J2115"/>
      <c r="M2115"/>
      <c r="O2115"/>
      <c r="Q2115"/>
      <c r="R2115"/>
      <c r="S2115"/>
      <c r="T2115"/>
      <c r="U2115"/>
      <c r="V2115"/>
      <c r="Z2115"/>
      <c r="AA2115"/>
    </row>
    <row r="2116" spans="7:27" x14ac:dyDescent="0.45">
      <c r="G2116"/>
      <c r="H2116"/>
      <c r="I2116"/>
      <c r="J2116"/>
      <c r="M2116"/>
      <c r="O2116"/>
      <c r="Q2116"/>
      <c r="R2116"/>
      <c r="S2116"/>
      <c r="T2116"/>
      <c r="U2116"/>
      <c r="V2116"/>
      <c r="Z2116"/>
      <c r="AA2116"/>
    </row>
    <row r="2117" spans="7:27" x14ac:dyDescent="0.45">
      <c r="G2117"/>
      <c r="H2117"/>
      <c r="I2117"/>
      <c r="J2117"/>
      <c r="M2117"/>
      <c r="O2117"/>
      <c r="Q2117"/>
      <c r="R2117"/>
      <c r="S2117"/>
      <c r="T2117"/>
      <c r="U2117"/>
      <c r="V2117"/>
      <c r="Z2117"/>
      <c r="AA2117"/>
    </row>
    <row r="2118" spans="7:27" x14ac:dyDescent="0.45">
      <c r="G2118"/>
      <c r="H2118"/>
      <c r="I2118"/>
      <c r="J2118"/>
      <c r="M2118"/>
      <c r="O2118"/>
      <c r="Q2118"/>
      <c r="R2118"/>
      <c r="S2118"/>
      <c r="T2118"/>
      <c r="U2118"/>
      <c r="V2118"/>
      <c r="Z2118"/>
      <c r="AA2118"/>
    </row>
    <row r="2119" spans="7:27" x14ac:dyDescent="0.45">
      <c r="G2119"/>
      <c r="H2119"/>
      <c r="I2119"/>
      <c r="J2119"/>
      <c r="M2119"/>
      <c r="O2119"/>
      <c r="Q2119"/>
      <c r="R2119"/>
      <c r="S2119"/>
      <c r="T2119"/>
      <c r="U2119"/>
      <c r="V2119"/>
      <c r="Z2119"/>
      <c r="AA2119"/>
    </row>
    <row r="2120" spans="7:27" x14ac:dyDescent="0.45">
      <c r="G2120"/>
      <c r="H2120"/>
      <c r="I2120"/>
      <c r="J2120"/>
      <c r="M2120"/>
      <c r="O2120"/>
      <c r="Q2120"/>
      <c r="R2120"/>
      <c r="S2120"/>
      <c r="T2120"/>
      <c r="U2120"/>
      <c r="V2120"/>
      <c r="Z2120"/>
      <c r="AA2120"/>
    </row>
    <row r="2121" spans="7:27" x14ac:dyDescent="0.45">
      <c r="G2121"/>
      <c r="H2121"/>
      <c r="I2121"/>
      <c r="J2121"/>
      <c r="M2121"/>
      <c r="O2121"/>
      <c r="Q2121"/>
      <c r="R2121"/>
      <c r="S2121"/>
      <c r="T2121"/>
      <c r="U2121"/>
      <c r="V2121"/>
      <c r="Z2121"/>
      <c r="AA2121"/>
    </row>
    <row r="2122" spans="7:27" x14ac:dyDescent="0.45">
      <c r="G2122"/>
      <c r="H2122"/>
      <c r="I2122"/>
      <c r="J2122"/>
      <c r="M2122"/>
      <c r="O2122"/>
      <c r="Q2122"/>
      <c r="R2122"/>
      <c r="S2122"/>
      <c r="T2122"/>
      <c r="U2122"/>
      <c r="V2122"/>
      <c r="Z2122"/>
      <c r="AA2122"/>
    </row>
    <row r="2123" spans="7:27" x14ac:dyDescent="0.45">
      <c r="G2123"/>
      <c r="H2123"/>
      <c r="I2123"/>
      <c r="J2123"/>
      <c r="M2123"/>
      <c r="O2123"/>
      <c r="Q2123"/>
      <c r="R2123"/>
      <c r="S2123"/>
      <c r="T2123"/>
      <c r="U2123"/>
      <c r="V2123"/>
      <c r="Z2123"/>
      <c r="AA2123"/>
    </row>
    <row r="2124" spans="7:27" x14ac:dyDescent="0.45">
      <c r="G2124"/>
      <c r="H2124"/>
      <c r="I2124"/>
      <c r="J2124"/>
      <c r="M2124"/>
      <c r="O2124"/>
      <c r="Q2124"/>
      <c r="R2124"/>
      <c r="S2124"/>
      <c r="T2124"/>
      <c r="U2124"/>
      <c r="V2124"/>
      <c r="Z2124"/>
      <c r="AA2124"/>
    </row>
    <row r="2125" spans="7:27" x14ac:dyDescent="0.45">
      <c r="G2125"/>
      <c r="H2125"/>
      <c r="I2125"/>
      <c r="J2125"/>
      <c r="M2125"/>
      <c r="O2125"/>
      <c r="Q2125"/>
      <c r="R2125"/>
      <c r="S2125"/>
      <c r="T2125"/>
      <c r="U2125"/>
      <c r="V2125"/>
      <c r="Z2125"/>
      <c r="AA2125"/>
    </row>
    <row r="2126" spans="7:27" x14ac:dyDescent="0.45">
      <c r="G2126"/>
      <c r="H2126"/>
      <c r="I2126"/>
      <c r="J2126"/>
      <c r="M2126"/>
      <c r="O2126"/>
      <c r="Q2126"/>
      <c r="R2126"/>
      <c r="S2126"/>
      <c r="T2126"/>
      <c r="U2126"/>
      <c r="V2126"/>
      <c r="Z2126"/>
      <c r="AA2126"/>
    </row>
    <row r="2127" spans="7:27" x14ac:dyDescent="0.45">
      <c r="G2127"/>
      <c r="H2127"/>
      <c r="I2127"/>
      <c r="J2127"/>
      <c r="M2127"/>
      <c r="O2127"/>
      <c r="Q2127"/>
      <c r="R2127"/>
      <c r="S2127"/>
      <c r="T2127"/>
      <c r="U2127"/>
      <c r="V2127"/>
      <c r="Z2127"/>
      <c r="AA2127"/>
    </row>
    <row r="2128" spans="7:27" x14ac:dyDescent="0.45">
      <c r="G2128"/>
      <c r="H2128"/>
      <c r="I2128"/>
      <c r="J2128"/>
      <c r="M2128"/>
      <c r="O2128"/>
      <c r="Q2128"/>
      <c r="R2128"/>
      <c r="S2128"/>
      <c r="T2128"/>
      <c r="U2128"/>
      <c r="V2128"/>
      <c r="Z2128"/>
      <c r="AA2128"/>
    </row>
    <row r="2129" spans="7:27" x14ac:dyDescent="0.45">
      <c r="G2129"/>
      <c r="H2129"/>
      <c r="I2129"/>
      <c r="J2129"/>
      <c r="M2129"/>
      <c r="O2129"/>
      <c r="Q2129"/>
      <c r="R2129"/>
      <c r="S2129"/>
      <c r="T2129"/>
      <c r="U2129"/>
      <c r="V2129"/>
      <c r="Z2129"/>
      <c r="AA2129"/>
    </row>
    <row r="2130" spans="7:27" x14ac:dyDescent="0.45">
      <c r="G2130"/>
      <c r="H2130"/>
      <c r="I2130"/>
      <c r="J2130"/>
      <c r="M2130"/>
      <c r="O2130"/>
      <c r="Q2130"/>
      <c r="R2130"/>
      <c r="S2130"/>
      <c r="T2130"/>
      <c r="U2130"/>
      <c r="V2130"/>
      <c r="Z2130"/>
      <c r="AA2130"/>
    </row>
    <row r="2131" spans="7:27" x14ac:dyDescent="0.45">
      <c r="G2131"/>
      <c r="H2131"/>
      <c r="I2131"/>
      <c r="J2131"/>
      <c r="M2131"/>
      <c r="O2131"/>
      <c r="Q2131"/>
      <c r="R2131"/>
      <c r="S2131"/>
      <c r="T2131"/>
      <c r="U2131"/>
      <c r="V2131"/>
      <c r="Z2131"/>
      <c r="AA2131"/>
    </row>
    <row r="2132" spans="7:27" x14ac:dyDescent="0.45">
      <c r="G2132"/>
      <c r="H2132"/>
      <c r="I2132"/>
      <c r="J2132"/>
      <c r="M2132"/>
      <c r="O2132"/>
      <c r="Q2132"/>
      <c r="R2132"/>
      <c r="S2132"/>
      <c r="T2132"/>
      <c r="U2132"/>
      <c r="V2132"/>
      <c r="Z2132"/>
      <c r="AA2132"/>
    </row>
    <row r="2133" spans="7:27" x14ac:dyDescent="0.45">
      <c r="G2133"/>
      <c r="H2133"/>
      <c r="I2133"/>
      <c r="J2133"/>
      <c r="M2133"/>
      <c r="O2133"/>
      <c r="Q2133"/>
      <c r="R2133"/>
      <c r="S2133"/>
      <c r="T2133"/>
      <c r="U2133"/>
      <c r="V2133"/>
      <c r="Z2133"/>
      <c r="AA2133"/>
    </row>
    <row r="2134" spans="7:27" x14ac:dyDescent="0.45">
      <c r="G2134"/>
      <c r="H2134"/>
      <c r="I2134"/>
      <c r="J2134"/>
      <c r="M2134"/>
      <c r="O2134"/>
      <c r="Q2134"/>
      <c r="R2134"/>
      <c r="S2134"/>
      <c r="T2134"/>
      <c r="U2134"/>
      <c r="V2134"/>
      <c r="Z2134"/>
      <c r="AA2134"/>
    </row>
    <row r="2135" spans="7:27" x14ac:dyDescent="0.45">
      <c r="G2135"/>
      <c r="H2135"/>
      <c r="I2135"/>
      <c r="J2135"/>
      <c r="M2135"/>
      <c r="O2135"/>
      <c r="Q2135"/>
      <c r="R2135"/>
      <c r="S2135"/>
      <c r="T2135"/>
      <c r="U2135"/>
      <c r="V2135"/>
      <c r="Z2135"/>
      <c r="AA2135"/>
    </row>
    <row r="2136" spans="7:27" x14ac:dyDescent="0.45">
      <c r="G2136"/>
      <c r="H2136"/>
      <c r="I2136"/>
      <c r="J2136"/>
      <c r="M2136"/>
      <c r="O2136"/>
      <c r="Q2136"/>
      <c r="R2136"/>
      <c r="S2136"/>
      <c r="T2136"/>
      <c r="U2136"/>
      <c r="V2136"/>
      <c r="Z2136"/>
      <c r="AA2136"/>
    </row>
    <row r="2137" spans="7:27" x14ac:dyDescent="0.45">
      <c r="G2137"/>
      <c r="H2137"/>
      <c r="I2137"/>
      <c r="J2137"/>
      <c r="M2137"/>
      <c r="O2137"/>
      <c r="Q2137"/>
      <c r="R2137"/>
      <c r="S2137"/>
      <c r="T2137"/>
      <c r="U2137"/>
      <c r="V2137"/>
      <c r="Z2137"/>
      <c r="AA2137"/>
    </row>
    <row r="2138" spans="7:27" x14ac:dyDescent="0.45">
      <c r="G2138"/>
      <c r="H2138"/>
      <c r="I2138"/>
      <c r="J2138"/>
      <c r="M2138"/>
      <c r="O2138"/>
      <c r="Q2138"/>
      <c r="R2138"/>
      <c r="S2138"/>
      <c r="T2138"/>
      <c r="U2138"/>
      <c r="V2138"/>
      <c r="Z2138"/>
      <c r="AA2138"/>
    </row>
    <row r="2139" spans="7:27" x14ac:dyDescent="0.45">
      <c r="G2139"/>
      <c r="H2139"/>
      <c r="I2139"/>
      <c r="J2139"/>
      <c r="M2139"/>
      <c r="O2139"/>
      <c r="Q2139"/>
      <c r="R2139"/>
      <c r="S2139"/>
      <c r="T2139"/>
      <c r="U2139"/>
      <c r="V2139"/>
      <c r="Z2139"/>
      <c r="AA2139"/>
    </row>
    <row r="2140" spans="7:27" x14ac:dyDescent="0.45">
      <c r="G2140"/>
      <c r="H2140"/>
      <c r="I2140"/>
      <c r="J2140"/>
      <c r="M2140"/>
      <c r="O2140"/>
      <c r="Q2140"/>
      <c r="R2140"/>
      <c r="S2140"/>
      <c r="T2140"/>
      <c r="U2140"/>
      <c r="V2140"/>
      <c r="Z2140"/>
      <c r="AA2140"/>
    </row>
    <row r="2141" spans="7:27" x14ac:dyDescent="0.45">
      <c r="G2141"/>
      <c r="H2141"/>
      <c r="I2141"/>
      <c r="J2141"/>
      <c r="M2141"/>
      <c r="O2141"/>
      <c r="Q2141"/>
      <c r="R2141"/>
      <c r="S2141"/>
      <c r="T2141"/>
      <c r="U2141"/>
      <c r="V2141"/>
      <c r="Z2141"/>
      <c r="AA2141"/>
    </row>
    <row r="2142" spans="7:27" x14ac:dyDescent="0.45">
      <c r="G2142"/>
      <c r="H2142"/>
      <c r="I2142"/>
      <c r="J2142"/>
      <c r="M2142"/>
      <c r="O2142"/>
      <c r="Q2142"/>
      <c r="R2142"/>
      <c r="S2142"/>
      <c r="T2142"/>
      <c r="U2142"/>
      <c r="V2142"/>
      <c r="Z2142"/>
      <c r="AA2142"/>
    </row>
    <row r="2143" spans="7:27" x14ac:dyDescent="0.45">
      <c r="G2143"/>
      <c r="H2143"/>
      <c r="I2143"/>
      <c r="J2143"/>
      <c r="M2143"/>
      <c r="O2143"/>
      <c r="Q2143"/>
      <c r="R2143"/>
      <c r="S2143"/>
      <c r="T2143"/>
      <c r="U2143"/>
      <c r="V2143"/>
      <c r="Z2143"/>
      <c r="AA2143"/>
    </row>
    <row r="2144" spans="7:27" x14ac:dyDescent="0.45">
      <c r="G2144"/>
      <c r="H2144"/>
      <c r="I2144"/>
      <c r="J2144"/>
      <c r="M2144"/>
      <c r="O2144"/>
      <c r="Q2144"/>
      <c r="R2144"/>
      <c r="S2144"/>
      <c r="T2144"/>
      <c r="U2144"/>
      <c r="V2144"/>
      <c r="Z2144"/>
      <c r="AA2144"/>
    </row>
    <row r="2145" spans="7:27" x14ac:dyDescent="0.45">
      <c r="G2145"/>
      <c r="H2145"/>
      <c r="I2145"/>
      <c r="J2145"/>
      <c r="M2145"/>
      <c r="O2145"/>
      <c r="Q2145"/>
      <c r="R2145"/>
      <c r="S2145"/>
      <c r="T2145"/>
      <c r="U2145"/>
      <c r="V2145"/>
      <c r="Z2145"/>
      <c r="AA2145"/>
    </row>
    <row r="2146" spans="7:27" x14ac:dyDescent="0.45">
      <c r="G2146"/>
      <c r="H2146"/>
      <c r="I2146"/>
      <c r="J2146"/>
      <c r="M2146"/>
      <c r="O2146"/>
      <c r="Q2146"/>
      <c r="R2146"/>
      <c r="S2146"/>
      <c r="T2146"/>
      <c r="U2146"/>
      <c r="V2146"/>
      <c r="Z2146"/>
      <c r="AA2146"/>
    </row>
    <row r="2147" spans="7:27" x14ac:dyDescent="0.45">
      <c r="G2147"/>
      <c r="H2147"/>
      <c r="I2147"/>
      <c r="J2147"/>
      <c r="M2147"/>
      <c r="O2147"/>
      <c r="Q2147"/>
      <c r="R2147"/>
      <c r="S2147"/>
      <c r="T2147"/>
      <c r="U2147"/>
      <c r="V2147"/>
      <c r="Z2147"/>
      <c r="AA2147"/>
    </row>
    <row r="2148" spans="7:27" x14ac:dyDescent="0.45">
      <c r="G2148"/>
      <c r="H2148"/>
      <c r="I2148"/>
      <c r="J2148"/>
      <c r="M2148"/>
      <c r="O2148"/>
      <c r="Q2148"/>
      <c r="R2148"/>
      <c r="S2148"/>
      <c r="T2148"/>
      <c r="U2148"/>
      <c r="V2148"/>
      <c r="Z2148"/>
      <c r="AA2148"/>
    </row>
    <row r="2149" spans="7:27" x14ac:dyDescent="0.45">
      <c r="G2149"/>
      <c r="H2149"/>
      <c r="I2149"/>
      <c r="J2149"/>
      <c r="M2149"/>
      <c r="O2149"/>
      <c r="Q2149"/>
      <c r="R2149"/>
      <c r="S2149"/>
      <c r="T2149"/>
      <c r="U2149"/>
      <c r="V2149"/>
      <c r="Z2149"/>
      <c r="AA2149"/>
    </row>
    <row r="2150" spans="7:27" x14ac:dyDescent="0.45">
      <c r="G2150"/>
      <c r="H2150"/>
      <c r="I2150"/>
      <c r="J2150"/>
      <c r="M2150"/>
      <c r="O2150"/>
      <c r="Q2150"/>
      <c r="R2150"/>
      <c r="S2150"/>
      <c r="T2150"/>
      <c r="U2150"/>
      <c r="V2150"/>
      <c r="Z2150"/>
      <c r="AA2150"/>
    </row>
    <row r="2151" spans="7:27" x14ac:dyDescent="0.45">
      <c r="G2151"/>
      <c r="H2151"/>
      <c r="I2151"/>
      <c r="J2151"/>
      <c r="M2151"/>
      <c r="O2151"/>
      <c r="Q2151"/>
      <c r="R2151"/>
      <c r="S2151"/>
      <c r="T2151"/>
      <c r="U2151"/>
      <c r="V2151"/>
      <c r="Z2151"/>
      <c r="AA2151"/>
    </row>
    <row r="2152" spans="7:27" x14ac:dyDescent="0.45">
      <c r="G2152"/>
      <c r="H2152"/>
      <c r="I2152"/>
      <c r="J2152"/>
      <c r="M2152"/>
      <c r="O2152"/>
      <c r="Q2152"/>
      <c r="R2152"/>
      <c r="S2152"/>
      <c r="T2152"/>
      <c r="U2152"/>
      <c r="V2152"/>
      <c r="Z2152"/>
      <c r="AA2152"/>
    </row>
    <row r="2153" spans="7:27" x14ac:dyDescent="0.45">
      <c r="G2153"/>
      <c r="H2153"/>
      <c r="I2153"/>
      <c r="J2153"/>
      <c r="M2153"/>
      <c r="O2153"/>
      <c r="Q2153"/>
      <c r="R2153"/>
      <c r="S2153"/>
      <c r="T2153"/>
      <c r="U2153"/>
      <c r="V2153"/>
      <c r="Z2153"/>
      <c r="AA2153"/>
    </row>
    <row r="2154" spans="7:27" x14ac:dyDescent="0.45">
      <c r="G2154"/>
      <c r="H2154"/>
      <c r="I2154"/>
      <c r="J2154"/>
      <c r="M2154"/>
      <c r="O2154"/>
      <c r="Q2154"/>
      <c r="R2154"/>
      <c r="S2154"/>
      <c r="T2154"/>
      <c r="U2154"/>
      <c r="V2154"/>
      <c r="Z2154"/>
      <c r="AA2154"/>
    </row>
    <row r="2155" spans="7:27" x14ac:dyDescent="0.45">
      <c r="G2155"/>
      <c r="H2155"/>
      <c r="I2155"/>
      <c r="J2155"/>
      <c r="M2155"/>
      <c r="O2155"/>
      <c r="Q2155"/>
      <c r="R2155"/>
      <c r="S2155"/>
      <c r="T2155"/>
      <c r="U2155"/>
      <c r="V2155"/>
      <c r="Z2155"/>
      <c r="AA2155"/>
    </row>
    <row r="2156" spans="7:27" x14ac:dyDescent="0.45">
      <c r="G2156"/>
      <c r="H2156"/>
      <c r="I2156"/>
      <c r="J2156"/>
      <c r="M2156"/>
      <c r="O2156"/>
      <c r="Q2156"/>
      <c r="R2156"/>
      <c r="S2156"/>
      <c r="T2156"/>
      <c r="U2156"/>
      <c r="V2156"/>
      <c r="Z2156"/>
      <c r="AA2156"/>
    </row>
    <row r="2157" spans="7:27" x14ac:dyDescent="0.45">
      <c r="G2157"/>
      <c r="H2157"/>
      <c r="I2157"/>
      <c r="J2157"/>
      <c r="M2157"/>
      <c r="O2157"/>
      <c r="Q2157"/>
      <c r="R2157"/>
      <c r="S2157"/>
      <c r="T2157"/>
      <c r="U2157"/>
      <c r="V2157"/>
      <c r="Z2157"/>
      <c r="AA2157"/>
    </row>
    <row r="2158" spans="7:27" x14ac:dyDescent="0.45">
      <c r="G2158"/>
      <c r="H2158"/>
      <c r="I2158"/>
      <c r="J2158"/>
      <c r="M2158"/>
      <c r="O2158"/>
      <c r="Q2158"/>
      <c r="R2158"/>
      <c r="S2158"/>
      <c r="T2158"/>
      <c r="U2158"/>
      <c r="V2158"/>
      <c r="Z2158"/>
      <c r="AA2158"/>
    </row>
    <row r="2159" spans="7:27" x14ac:dyDescent="0.45">
      <c r="G2159"/>
      <c r="H2159"/>
      <c r="I2159"/>
      <c r="J2159"/>
      <c r="M2159"/>
      <c r="O2159"/>
      <c r="Q2159"/>
      <c r="R2159"/>
      <c r="S2159"/>
      <c r="T2159"/>
      <c r="U2159"/>
      <c r="V2159"/>
      <c r="Z2159"/>
      <c r="AA2159"/>
    </row>
    <row r="2160" spans="7:27" x14ac:dyDescent="0.45">
      <c r="G2160"/>
      <c r="H2160"/>
      <c r="I2160"/>
      <c r="J2160"/>
      <c r="M2160"/>
      <c r="O2160"/>
      <c r="Q2160"/>
      <c r="R2160"/>
      <c r="S2160"/>
      <c r="T2160"/>
      <c r="U2160"/>
      <c r="V2160"/>
      <c r="Z2160"/>
      <c r="AA2160"/>
    </row>
    <row r="2161" spans="7:27" x14ac:dyDescent="0.45">
      <c r="G2161"/>
      <c r="H2161"/>
      <c r="I2161"/>
      <c r="J2161"/>
      <c r="M2161"/>
      <c r="O2161"/>
      <c r="Q2161"/>
      <c r="R2161"/>
      <c r="S2161"/>
      <c r="T2161"/>
      <c r="U2161"/>
      <c r="V2161"/>
      <c r="Z2161"/>
      <c r="AA2161"/>
    </row>
    <row r="2162" spans="7:27" x14ac:dyDescent="0.45">
      <c r="G2162"/>
      <c r="H2162"/>
      <c r="I2162"/>
      <c r="J2162"/>
      <c r="M2162"/>
      <c r="O2162"/>
      <c r="Q2162"/>
      <c r="R2162"/>
      <c r="S2162"/>
      <c r="T2162"/>
      <c r="U2162"/>
      <c r="V2162"/>
      <c r="Z2162"/>
      <c r="AA2162"/>
    </row>
    <row r="2163" spans="7:27" x14ac:dyDescent="0.45">
      <c r="G2163"/>
      <c r="H2163"/>
      <c r="I2163"/>
      <c r="J2163"/>
      <c r="M2163"/>
      <c r="O2163"/>
      <c r="Q2163"/>
      <c r="R2163"/>
      <c r="S2163"/>
      <c r="T2163"/>
      <c r="U2163"/>
      <c r="V2163"/>
      <c r="Z2163"/>
      <c r="AA2163"/>
    </row>
    <row r="2164" spans="7:27" x14ac:dyDescent="0.45">
      <c r="G2164"/>
      <c r="H2164"/>
      <c r="I2164"/>
      <c r="J2164"/>
      <c r="M2164"/>
      <c r="O2164"/>
      <c r="Q2164"/>
      <c r="R2164"/>
      <c r="S2164"/>
      <c r="T2164"/>
      <c r="U2164"/>
      <c r="V2164"/>
      <c r="Z2164"/>
      <c r="AA2164"/>
    </row>
    <row r="2165" spans="7:27" x14ac:dyDescent="0.45">
      <c r="G2165"/>
      <c r="H2165"/>
      <c r="I2165"/>
      <c r="J2165"/>
      <c r="M2165"/>
      <c r="O2165"/>
      <c r="Q2165"/>
      <c r="R2165"/>
      <c r="S2165"/>
      <c r="T2165"/>
      <c r="U2165"/>
      <c r="V2165"/>
      <c r="Z2165"/>
      <c r="AA2165"/>
    </row>
    <row r="2166" spans="7:27" x14ac:dyDescent="0.45">
      <c r="G2166"/>
      <c r="H2166"/>
      <c r="I2166"/>
      <c r="J2166"/>
      <c r="M2166"/>
      <c r="O2166"/>
      <c r="Q2166"/>
      <c r="R2166"/>
      <c r="S2166"/>
      <c r="T2166"/>
      <c r="U2166"/>
      <c r="V2166"/>
      <c r="Z2166"/>
      <c r="AA2166"/>
    </row>
    <row r="2167" spans="7:27" x14ac:dyDescent="0.45">
      <c r="G2167"/>
      <c r="H2167"/>
      <c r="I2167"/>
      <c r="J2167"/>
      <c r="M2167"/>
      <c r="O2167"/>
      <c r="Q2167"/>
      <c r="R2167"/>
      <c r="S2167"/>
      <c r="T2167"/>
      <c r="U2167"/>
      <c r="V2167"/>
      <c r="Z2167"/>
      <c r="AA2167"/>
    </row>
    <row r="2168" spans="7:27" x14ac:dyDescent="0.45">
      <c r="G2168"/>
      <c r="H2168"/>
      <c r="I2168"/>
      <c r="J2168"/>
      <c r="M2168"/>
      <c r="O2168"/>
      <c r="Q2168"/>
      <c r="R2168"/>
      <c r="S2168"/>
      <c r="T2168"/>
      <c r="U2168"/>
      <c r="V2168"/>
      <c r="Z2168"/>
      <c r="AA2168"/>
    </row>
    <row r="2169" spans="7:27" x14ac:dyDescent="0.45">
      <c r="G2169"/>
      <c r="H2169"/>
      <c r="I2169"/>
      <c r="J2169"/>
      <c r="M2169"/>
      <c r="O2169"/>
      <c r="Q2169"/>
      <c r="R2169"/>
      <c r="S2169"/>
      <c r="T2169"/>
      <c r="U2169"/>
      <c r="V2169"/>
      <c r="Z2169"/>
      <c r="AA2169"/>
    </row>
    <row r="2170" spans="7:27" x14ac:dyDescent="0.45">
      <c r="G2170"/>
      <c r="H2170"/>
      <c r="I2170"/>
      <c r="J2170"/>
      <c r="M2170"/>
      <c r="O2170"/>
      <c r="Q2170"/>
      <c r="R2170"/>
      <c r="S2170"/>
      <c r="T2170"/>
      <c r="U2170"/>
      <c r="V2170"/>
      <c r="Z2170"/>
      <c r="AA2170"/>
    </row>
    <row r="2171" spans="7:27" x14ac:dyDescent="0.45">
      <c r="G2171"/>
      <c r="H2171"/>
      <c r="I2171"/>
      <c r="J2171"/>
      <c r="M2171"/>
      <c r="O2171"/>
      <c r="Q2171"/>
      <c r="R2171"/>
      <c r="S2171"/>
      <c r="T2171"/>
      <c r="U2171"/>
      <c r="V2171"/>
      <c r="Z2171"/>
      <c r="AA2171"/>
    </row>
    <row r="2172" spans="7:27" x14ac:dyDescent="0.45">
      <c r="G2172"/>
      <c r="H2172"/>
      <c r="I2172"/>
      <c r="J2172"/>
      <c r="M2172"/>
      <c r="O2172"/>
      <c r="Q2172"/>
      <c r="R2172"/>
      <c r="S2172"/>
      <c r="T2172"/>
      <c r="U2172"/>
      <c r="V2172"/>
      <c r="Z2172"/>
      <c r="AA2172"/>
    </row>
    <row r="2173" spans="7:27" x14ac:dyDescent="0.45">
      <c r="G2173"/>
      <c r="H2173"/>
      <c r="I2173"/>
      <c r="J2173"/>
      <c r="M2173"/>
      <c r="O2173"/>
      <c r="Q2173"/>
      <c r="R2173"/>
      <c r="S2173"/>
      <c r="T2173"/>
      <c r="U2173"/>
      <c r="V2173"/>
      <c r="Z2173"/>
      <c r="AA2173"/>
    </row>
    <row r="2174" spans="7:27" x14ac:dyDescent="0.45">
      <c r="G2174"/>
      <c r="H2174"/>
      <c r="I2174"/>
      <c r="J2174"/>
      <c r="M2174"/>
      <c r="O2174"/>
      <c r="Q2174"/>
      <c r="R2174"/>
      <c r="S2174"/>
      <c r="T2174"/>
      <c r="U2174"/>
      <c r="V2174"/>
      <c r="Z2174"/>
      <c r="AA2174"/>
    </row>
    <row r="2175" spans="7:27" x14ac:dyDescent="0.45">
      <c r="G2175"/>
      <c r="H2175"/>
      <c r="I2175"/>
      <c r="J2175"/>
      <c r="M2175"/>
      <c r="O2175"/>
      <c r="Q2175"/>
      <c r="R2175"/>
      <c r="S2175"/>
      <c r="T2175"/>
      <c r="U2175"/>
      <c r="V2175"/>
      <c r="Z2175"/>
      <c r="AA2175"/>
    </row>
    <row r="2176" spans="7:27" x14ac:dyDescent="0.45">
      <c r="G2176"/>
      <c r="H2176"/>
      <c r="I2176"/>
      <c r="J2176"/>
      <c r="M2176"/>
      <c r="O2176"/>
      <c r="Q2176"/>
      <c r="R2176"/>
      <c r="S2176"/>
      <c r="T2176"/>
      <c r="U2176"/>
      <c r="V2176"/>
      <c r="Z2176"/>
      <c r="AA2176"/>
    </row>
    <row r="2177" spans="7:27" x14ac:dyDescent="0.45">
      <c r="G2177"/>
      <c r="H2177"/>
      <c r="I2177"/>
      <c r="J2177"/>
      <c r="M2177"/>
      <c r="O2177"/>
      <c r="Q2177"/>
      <c r="R2177"/>
      <c r="S2177"/>
      <c r="T2177"/>
      <c r="U2177"/>
      <c r="V2177"/>
      <c r="Z2177"/>
      <c r="AA2177"/>
    </row>
    <row r="2178" spans="7:27" x14ac:dyDescent="0.45">
      <c r="G2178"/>
      <c r="H2178"/>
      <c r="I2178"/>
      <c r="J2178"/>
      <c r="M2178"/>
      <c r="O2178"/>
      <c r="Q2178"/>
      <c r="R2178"/>
      <c r="S2178"/>
      <c r="T2178"/>
      <c r="U2178"/>
      <c r="V2178"/>
      <c r="Z2178"/>
      <c r="AA2178"/>
    </row>
    <row r="2179" spans="7:27" x14ac:dyDescent="0.45">
      <c r="G2179"/>
      <c r="H2179"/>
      <c r="I2179"/>
      <c r="J2179"/>
      <c r="M2179"/>
      <c r="O2179"/>
      <c r="Q2179"/>
      <c r="R2179"/>
      <c r="S2179"/>
      <c r="T2179"/>
      <c r="U2179"/>
      <c r="V2179"/>
      <c r="Z2179"/>
      <c r="AA2179"/>
    </row>
    <row r="2180" spans="7:27" x14ac:dyDescent="0.45">
      <c r="G2180"/>
      <c r="H2180"/>
      <c r="I2180"/>
      <c r="J2180"/>
      <c r="M2180"/>
      <c r="O2180"/>
      <c r="Q2180"/>
      <c r="R2180"/>
      <c r="S2180"/>
      <c r="T2180"/>
      <c r="U2180"/>
      <c r="V2180"/>
      <c r="Z2180"/>
      <c r="AA2180"/>
    </row>
    <row r="2181" spans="7:27" x14ac:dyDescent="0.45">
      <c r="G2181"/>
      <c r="H2181"/>
      <c r="I2181"/>
      <c r="J2181"/>
      <c r="M2181"/>
      <c r="O2181"/>
      <c r="Q2181"/>
      <c r="R2181"/>
      <c r="S2181"/>
      <c r="T2181"/>
      <c r="U2181"/>
      <c r="V2181"/>
      <c r="Z2181"/>
      <c r="AA2181"/>
    </row>
    <row r="2182" spans="7:27" x14ac:dyDescent="0.45">
      <c r="G2182"/>
      <c r="H2182"/>
      <c r="I2182"/>
      <c r="J2182"/>
      <c r="M2182"/>
      <c r="O2182"/>
      <c r="Q2182"/>
      <c r="R2182"/>
      <c r="S2182"/>
      <c r="T2182"/>
      <c r="U2182"/>
      <c r="V2182"/>
      <c r="Z2182"/>
      <c r="AA2182"/>
    </row>
    <row r="2183" spans="7:27" x14ac:dyDescent="0.45">
      <c r="G2183"/>
      <c r="H2183"/>
      <c r="I2183"/>
      <c r="J2183"/>
      <c r="M2183"/>
      <c r="O2183"/>
      <c r="Q2183"/>
      <c r="R2183"/>
      <c r="S2183"/>
      <c r="T2183"/>
      <c r="U2183"/>
      <c r="V2183"/>
      <c r="Z2183"/>
      <c r="AA2183"/>
    </row>
    <row r="2184" spans="7:27" x14ac:dyDescent="0.45">
      <c r="G2184"/>
      <c r="H2184"/>
      <c r="I2184"/>
      <c r="J2184"/>
      <c r="M2184"/>
      <c r="O2184"/>
      <c r="Q2184"/>
      <c r="R2184"/>
      <c r="S2184"/>
      <c r="T2184"/>
      <c r="U2184"/>
      <c r="V2184"/>
      <c r="Z2184"/>
      <c r="AA2184"/>
    </row>
    <row r="2185" spans="7:27" x14ac:dyDescent="0.45">
      <c r="G2185"/>
      <c r="H2185"/>
      <c r="I2185"/>
      <c r="J2185"/>
      <c r="M2185"/>
      <c r="O2185"/>
      <c r="Q2185"/>
      <c r="R2185"/>
      <c r="S2185"/>
      <c r="T2185"/>
      <c r="U2185"/>
      <c r="V2185"/>
      <c r="Z2185"/>
      <c r="AA2185"/>
    </row>
    <row r="2186" spans="7:27" x14ac:dyDescent="0.45">
      <c r="G2186"/>
      <c r="H2186"/>
      <c r="I2186"/>
      <c r="J2186"/>
      <c r="M2186"/>
      <c r="O2186"/>
      <c r="Q2186"/>
      <c r="R2186"/>
      <c r="S2186"/>
      <c r="T2186"/>
      <c r="U2186"/>
      <c r="V2186"/>
      <c r="Z2186"/>
      <c r="AA2186"/>
    </row>
    <row r="2187" spans="7:27" x14ac:dyDescent="0.45">
      <c r="G2187"/>
      <c r="H2187"/>
      <c r="I2187"/>
      <c r="J2187"/>
      <c r="M2187"/>
      <c r="O2187"/>
      <c r="Q2187"/>
      <c r="R2187"/>
      <c r="S2187"/>
      <c r="T2187"/>
      <c r="U2187"/>
      <c r="V2187"/>
      <c r="Z2187"/>
      <c r="AA2187"/>
    </row>
    <row r="2188" spans="7:27" x14ac:dyDescent="0.45">
      <c r="G2188"/>
      <c r="H2188"/>
      <c r="I2188"/>
      <c r="J2188"/>
      <c r="M2188"/>
      <c r="O2188"/>
      <c r="Q2188"/>
      <c r="R2188"/>
      <c r="S2188"/>
      <c r="T2188"/>
      <c r="U2188"/>
      <c r="V2188"/>
      <c r="Z2188"/>
      <c r="AA2188"/>
    </row>
    <row r="2189" spans="7:27" x14ac:dyDescent="0.45">
      <c r="G2189"/>
      <c r="H2189"/>
      <c r="I2189"/>
      <c r="J2189"/>
      <c r="M2189"/>
      <c r="O2189"/>
      <c r="Q2189"/>
      <c r="R2189"/>
      <c r="S2189"/>
      <c r="T2189"/>
      <c r="U2189"/>
      <c r="V2189"/>
      <c r="Z2189"/>
      <c r="AA2189"/>
    </row>
    <row r="2190" spans="7:27" x14ac:dyDescent="0.45">
      <c r="G2190"/>
      <c r="H2190"/>
      <c r="I2190"/>
      <c r="J2190"/>
      <c r="M2190"/>
      <c r="O2190"/>
      <c r="Q2190"/>
      <c r="R2190"/>
      <c r="S2190"/>
      <c r="T2190"/>
      <c r="U2190"/>
      <c r="V2190"/>
      <c r="Z2190"/>
      <c r="AA2190"/>
    </row>
    <row r="2191" spans="7:27" x14ac:dyDescent="0.45">
      <c r="G2191"/>
      <c r="H2191"/>
      <c r="I2191"/>
      <c r="J2191"/>
      <c r="M2191"/>
      <c r="O2191"/>
      <c r="Q2191"/>
      <c r="R2191"/>
      <c r="S2191"/>
      <c r="T2191"/>
      <c r="U2191"/>
      <c r="V2191"/>
      <c r="Z2191"/>
      <c r="AA2191"/>
    </row>
    <row r="2192" spans="7:27" x14ac:dyDescent="0.45">
      <c r="G2192"/>
      <c r="H2192"/>
      <c r="I2192"/>
      <c r="J2192"/>
      <c r="M2192"/>
      <c r="O2192"/>
      <c r="Q2192"/>
      <c r="R2192"/>
      <c r="S2192"/>
      <c r="T2192"/>
      <c r="U2192"/>
      <c r="V2192"/>
      <c r="Z2192"/>
      <c r="AA2192"/>
    </row>
    <row r="2193" spans="7:27" x14ac:dyDescent="0.45">
      <c r="G2193"/>
      <c r="H2193"/>
      <c r="I2193"/>
      <c r="J2193"/>
      <c r="M2193"/>
      <c r="O2193"/>
      <c r="Q2193"/>
      <c r="R2193"/>
      <c r="S2193"/>
      <c r="T2193"/>
      <c r="U2193"/>
      <c r="V2193"/>
      <c r="Z2193"/>
      <c r="AA2193"/>
    </row>
    <row r="2194" spans="7:27" x14ac:dyDescent="0.45">
      <c r="G2194"/>
      <c r="H2194"/>
      <c r="I2194"/>
      <c r="J2194"/>
      <c r="M2194"/>
      <c r="O2194"/>
      <c r="Q2194"/>
      <c r="R2194"/>
      <c r="S2194"/>
      <c r="T2194"/>
      <c r="U2194"/>
      <c r="V2194"/>
      <c r="Z2194"/>
      <c r="AA2194"/>
    </row>
    <row r="2195" spans="7:27" x14ac:dyDescent="0.45">
      <c r="G2195"/>
      <c r="H2195"/>
      <c r="I2195"/>
      <c r="J2195"/>
      <c r="M2195"/>
      <c r="O2195"/>
      <c r="Q2195"/>
      <c r="R2195"/>
      <c r="S2195"/>
      <c r="T2195"/>
      <c r="U2195"/>
      <c r="V2195"/>
      <c r="Z2195"/>
      <c r="AA2195"/>
    </row>
    <row r="2196" spans="7:27" x14ac:dyDescent="0.45">
      <c r="G2196"/>
      <c r="H2196"/>
      <c r="I2196"/>
      <c r="J2196"/>
      <c r="M2196"/>
      <c r="O2196"/>
      <c r="Q2196"/>
      <c r="R2196"/>
      <c r="S2196"/>
      <c r="T2196"/>
      <c r="U2196"/>
      <c r="V2196"/>
      <c r="Z2196"/>
      <c r="AA2196"/>
    </row>
    <row r="2197" spans="7:27" x14ac:dyDescent="0.45">
      <c r="G2197"/>
      <c r="H2197"/>
      <c r="I2197"/>
      <c r="J2197"/>
      <c r="M2197"/>
      <c r="O2197"/>
      <c r="Q2197"/>
      <c r="R2197"/>
      <c r="S2197"/>
      <c r="T2197"/>
      <c r="U2197"/>
      <c r="V2197"/>
      <c r="Z2197"/>
      <c r="AA2197"/>
    </row>
    <row r="2198" spans="7:27" x14ac:dyDescent="0.45">
      <c r="G2198"/>
      <c r="H2198"/>
      <c r="I2198"/>
      <c r="J2198"/>
      <c r="M2198"/>
      <c r="O2198"/>
      <c r="Q2198"/>
      <c r="R2198"/>
      <c r="S2198"/>
      <c r="T2198"/>
      <c r="U2198"/>
      <c r="V2198"/>
      <c r="Z2198"/>
      <c r="AA2198"/>
    </row>
    <row r="2199" spans="7:27" x14ac:dyDescent="0.45">
      <c r="G2199"/>
      <c r="H2199"/>
      <c r="I2199"/>
      <c r="J2199"/>
      <c r="M2199"/>
      <c r="O2199"/>
      <c r="Q2199"/>
      <c r="R2199"/>
      <c r="S2199"/>
      <c r="T2199"/>
      <c r="U2199"/>
      <c r="V2199"/>
      <c r="Z2199"/>
      <c r="AA2199"/>
    </row>
    <row r="2200" spans="7:27" x14ac:dyDescent="0.45">
      <c r="G2200"/>
      <c r="H2200"/>
      <c r="I2200"/>
      <c r="J2200"/>
      <c r="M2200"/>
      <c r="O2200"/>
      <c r="Q2200"/>
      <c r="R2200"/>
      <c r="S2200"/>
      <c r="T2200"/>
      <c r="U2200"/>
      <c r="V2200"/>
      <c r="Z2200"/>
      <c r="AA2200"/>
    </row>
    <row r="2201" spans="7:27" x14ac:dyDescent="0.45">
      <c r="G2201"/>
      <c r="H2201"/>
      <c r="I2201"/>
      <c r="J2201"/>
      <c r="M2201"/>
      <c r="O2201"/>
      <c r="Q2201"/>
      <c r="R2201"/>
      <c r="S2201"/>
      <c r="T2201"/>
      <c r="U2201"/>
      <c r="V2201"/>
      <c r="Z2201"/>
      <c r="AA2201"/>
    </row>
    <row r="2202" spans="7:27" x14ac:dyDescent="0.45">
      <c r="G2202"/>
      <c r="H2202"/>
      <c r="I2202"/>
      <c r="J2202"/>
      <c r="M2202"/>
      <c r="O2202"/>
      <c r="Q2202"/>
      <c r="R2202"/>
      <c r="S2202"/>
      <c r="T2202"/>
      <c r="U2202"/>
      <c r="V2202"/>
      <c r="Z2202"/>
      <c r="AA2202"/>
    </row>
    <row r="2203" spans="7:27" x14ac:dyDescent="0.45">
      <c r="G2203"/>
      <c r="H2203"/>
      <c r="I2203"/>
      <c r="J2203"/>
      <c r="M2203"/>
      <c r="O2203"/>
      <c r="Q2203"/>
      <c r="R2203"/>
      <c r="S2203"/>
      <c r="T2203"/>
      <c r="U2203"/>
      <c r="V2203"/>
      <c r="Z2203"/>
      <c r="AA2203"/>
    </row>
    <row r="2204" spans="7:27" x14ac:dyDescent="0.45">
      <c r="G2204"/>
      <c r="H2204"/>
      <c r="I2204"/>
      <c r="J2204"/>
      <c r="M2204"/>
      <c r="O2204"/>
      <c r="Q2204"/>
      <c r="R2204"/>
      <c r="S2204"/>
      <c r="T2204"/>
      <c r="U2204"/>
      <c r="V2204"/>
      <c r="Z2204"/>
      <c r="AA2204"/>
    </row>
    <row r="2205" spans="7:27" x14ac:dyDescent="0.45">
      <c r="G2205"/>
      <c r="H2205"/>
      <c r="I2205"/>
      <c r="J2205"/>
      <c r="M2205"/>
      <c r="O2205"/>
      <c r="Q2205"/>
      <c r="R2205"/>
      <c r="S2205"/>
      <c r="T2205"/>
      <c r="U2205"/>
      <c r="V2205"/>
      <c r="Z2205"/>
      <c r="AA2205"/>
    </row>
    <row r="2206" spans="7:27" x14ac:dyDescent="0.45">
      <c r="G2206"/>
      <c r="H2206"/>
      <c r="I2206"/>
      <c r="J2206"/>
      <c r="M2206"/>
      <c r="O2206"/>
      <c r="Q2206"/>
      <c r="R2206"/>
      <c r="S2206"/>
      <c r="T2206"/>
      <c r="U2206"/>
      <c r="V2206"/>
      <c r="Z2206"/>
      <c r="AA2206"/>
    </row>
    <row r="2207" spans="7:27" x14ac:dyDescent="0.45">
      <c r="G2207"/>
      <c r="H2207"/>
      <c r="I2207"/>
      <c r="J2207"/>
      <c r="M2207"/>
      <c r="O2207"/>
      <c r="Q2207"/>
      <c r="R2207"/>
      <c r="S2207"/>
      <c r="T2207"/>
      <c r="U2207"/>
      <c r="V2207"/>
      <c r="Z2207"/>
      <c r="AA2207"/>
    </row>
    <row r="2208" spans="7:27" x14ac:dyDescent="0.45">
      <c r="G2208"/>
      <c r="H2208"/>
      <c r="I2208"/>
      <c r="J2208"/>
      <c r="M2208"/>
      <c r="O2208"/>
      <c r="Q2208"/>
      <c r="R2208"/>
      <c r="S2208"/>
      <c r="T2208"/>
      <c r="U2208"/>
      <c r="V2208"/>
      <c r="Z2208"/>
      <c r="AA2208"/>
    </row>
    <row r="2209" spans="7:27" x14ac:dyDescent="0.45">
      <c r="G2209"/>
      <c r="H2209"/>
      <c r="I2209"/>
      <c r="J2209"/>
      <c r="M2209"/>
      <c r="O2209"/>
      <c r="Q2209"/>
      <c r="R2209"/>
      <c r="S2209"/>
      <c r="T2209"/>
      <c r="U2209"/>
      <c r="V2209"/>
      <c r="Z2209"/>
      <c r="AA2209"/>
    </row>
    <row r="2210" spans="7:27" x14ac:dyDescent="0.45">
      <c r="G2210"/>
      <c r="H2210"/>
      <c r="I2210"/>
      <c r="J2210"/>
      <c r="M2210"/>
      <c r="O2210"/>
      <c r="Q2210"/>
      <c r="R2210"/>
      <c r="S2210"/>
      <c r="T2210"/>
      <c r="U2210"/>
      <c r="V2210"/>
      <c r="Z2210"/>
      <c r="AA2210"/>
    </row>
    <row r="2211" spans="7:27" x14ac:dyDescent="0.45">
      <c r="G2211"/>
      <c r="H2211"/>
      <c r="I2211"/>
      <c r="J2211"/>
      <c r="M2211"/>
      <c r="O2211"/>
      <c r="Q2211"/>
      <c r="R2211"/>
      <c r="S2211"/>
      <c r="T2211"/>
      <c r="U2211"/>
      <c r="V2211"/>
      <c r="Z2211"/>
      <c r="AA2211"/>
    </row>
    <row r="2212" spans="7:27" x14ac:dyDescent="0.45">
      <c r="G2212"/>
      <c r="H2212"/>
      <c r="I2212"/>
      <c r="J2212"/>
      <c r="M2212"/>
      <c r="O2212"/>
      <c r="Q2212"/>
      <c r="R2212"/>
      <c r="S2212"/>
      <c r="T2212"/>
      <c r="U2212"/>
      <c r="V2212"/>
      <c r="Z2212"/>
      <c r="AA2212"/>
    </row>
    <row r="2213" spans="7:27" x14ac:dyDescent="0.45">
      <c r="G2213"/>
      <c r="H2213"/>
      <c r="I2213"/>
      <c r="J2213"/>
      <c r="M2213"/>
      <c r="O2213"/>
      <c r="Q2213"/>
      <c r="R2213"/>
      <c r="S2213"/>
      <c r="T2213"/>
      <c r="U2213"/>
      <c r="V2213"/>
      <c r="Z2213"/>
      <c r="AA2213"/>
    </row>
    <row r="2214" spans="7:27" x14ac:dyDescent="0.45">
      <c r="G2214"/>
      <c r="H2214"/>
      <c r="I2214"/>
      <c r="J2214"/>
      <c r="M2214"/>
      <c r="O2214"/>
      <c r="Q2214"/>
      <c r="R2214"/>
      <c r="S2214"/>
      <c r="T2214"/>
      <c r="U2214"/>
      <c r="V2214"/>
      <c r="Z2214"/>
      <c r="AA2214"/>
    </row>
    <row r="2215" spans="7:27" x14ac:dyDescent="0.45">
      <c r="G2215"/>
      <c r="H2215"/>
      <c r="I2215"/>
      <c r="J2215"/>
      <c r="M2215"/>
      <c r="O2215"/>
      <c r="Q2215"/>
      <c r="R2215"/>
      <c r="S2215"/>
      <c r="T2215"/>
      <c r="U2215"/>
      <c r="V2215"/>
      <c r="Z2215"/>
      <c r="AA2215"/>
    </row>
    <row r="2216" spans="7:27" x14ac:dyDescent="0.45">
      <c r="G2216"/>
      <c r="H2216"/>
      <c r="I2216"/>
      <c r="J2216"/>
      <c r="M2216"/>
      <c r="O2216"/>
      <c r="Q2216"/>
      <c r="R2216"/>
      <c r="S2216"/>
      <c r="T2216"/>
      <c r="U2216"/>
      <c r="V2216"/>
      <c r="Z2216"/>
      <c r="AA2216"/>
    </row>
    <row r="2217" spans="7:27" x14ac:dyDescent="0.45">
      <c r="G2217"/>
      <c r="H2217"/>
      <c r="I2217"/>
      <c r="J2217"/>
      <c r="M2217"/>
      <c r="O2217"/>
      <c r="Q2217"/>
      <c r="R2217"/>
      <c r="S2217"/>
      <c r="T2217"/>
      <c r="U2217"/>
      <c r="V2217"/>
      <c r="Z2217"/>
      <c r="AA2217"/>
    </row>
    <row r="2218" spans="7:27" x14ac:dyDescent="0.45">
      <c r="G2218"/>
      <c r="H2218"/>
      <c r="I2218"/>
      <c r="J2218"/>
      <c r="M2218"/>
      <c r="O2218"/>
      <c r="Q2218"/>
      <c r="R2218"/>
      <c r="S2218"/>
      <c r="T2218"/>
      <c r="U2218"/>
      <c r="V2218"/>
      <c r="Z2218"/>
      <c r="AA2218"/>
    </row>
    <row r="2219" spans="7:27" x14ac:dyDescent="0.45">
      <c r="G2219"/>
      <c r="H2219"/>
      <c r="I2219"/>
      <c r="J2219"/>
      <c r="M2219"/>
      <c r="O2219"/>
      <c r="Q2219"/>
      <c r="R2219"/>
      <c r="S2219"/>
      <c r="T2219"/>
      <c r="U2219"/>
      <c r="V2219"/>
      <c r="Z2219"/>
      <c r="AA2219"/>
    </row>
    <row r="2220" spans="7:27" x14ac:dyDescent="0.45">
      <c r="G2220"/>
      <c r="H2220"/>
      <c r="I2220"/>
      <c r="J2220"/>
      <c r="M2220"/>
      <c r="O2220"/>
      <c r="Q2220"/>
      <c r="R2220"/>
      <c r="S2220"/>
      <c r="T2220"/>
      <c r="U2220"/>
      <c r="V2220"/>
      <c r="Z2220"/>
      <c r="AA2220"/>
    </row>
    <row r="2221" spans="7:27" x14ac:dyDescent="0.45">
      <c r="G2221"/>
      <c r="H2221"/>
      <c r="I2221"/>
      <c r="J2221"/>
      <c r="M2221"/>
      <c r="O2221"/>
      <c r="Q2221"/>
      <c r="R2221"/>
      <c r="S2221"/>
      <c r="T2221"/>
      <c r="U2221"/>
      <c r="V2221"/>
      <c r="Z2221"/>
      <c r="AA2221"/>
    </row>
    <row r="2222" spans="7:27" x14ac:dyDescent="0.45">
      <c r="G2222"/>
      <c r="H2222"/>
      <c r="I2222"/>
      <c r="J2222"/>
      <c r="M2222"/>
      <c r="O2222"/>
      <c r="Q2222"/>
      <c r="R2222"/>
      <c r="S2222"/>
      <c r="T2222"/>
      <c r="U2222"/>
      <c r="V2222"/>
      <c r="Z2222"/>
      <c r="AA2222"/>
    </row>
    <row r="2223" spans="7:27" x14ac:dyDescent="0.45">
      <c r="G2223"/>
      <c r="H2223"/>
      <c r="I2223"/>
      <c r="J2223"/>
      <c r="M2223"/>
      <c r="O2223"/>
      <c r="Q2223"/>
      <c r="R2223"/>
      <c r="S2223"/>
      <c r="T2223"/>
      <c r="U2223"/>
      <c r="V2223"/>
      <c r="Z2223"/>
      <c r="AA2223"/>
    </row>
    <row r="2224" spans="7:27" x14ac:dyDescent="0.45">
      <c r="G2224"/>
      <c r="H2224"/>
      <c r="I2224"/>
      <c r="J2224"/>
      <c r="M2224"/>
      <c r="O2224"/>
      <c r="Q2224"/>
      <c r="R2224"/>
      <c r="S2224"/>
      <c r="T2224"/>
      <c r="U2224"/>
      <c r="V2224"/>
      <c r="Z2224"/>
      <c r="AA2224"/>
    </row>
    <row r="2225" spans="7:27" x14ac:dyDescent="0.45">
      <c r="G2225"/>
      <c r="H2225"/>
      <c r="I2225"/>
      <c r="J2225"/>
      <c r="M2225"/>
      <c r="O2225"/>
      <c r="Q2225"/>
      <c r="R2225"/>
      <c r="S2225"/>
      <c r="T2225"/>
      <c r="U2225"/>
      <c r="V2225"/>
      <c r="Z2225"/>
      <c r="AA2225"/>
    </row>
    <row r="2226" spans="7:27" x14ac:dyDescent="0.45">
      <c r="G2226"/>
      <c r="H2226"/>
      <c r="I2226"/>
      <c r="J2226"/>
      <c r="M2226"/>
      <c r="O2226"/>
      <c r="Q2226"/>
      <c r="R2226"/>
      <c r="S2226"/>
      <c r="T2226"/>
      <c r="U2226"/>
      <c r="V2226"/>
      <c r="Z2226"/>
      <c r="AA2226"/>
    </row>
    <row r="2227" spans="7:27" x14ac:dyDescent="0.45">
      <c r="G2227"/>
      <c r="H2227"/>
      <c r="I2227"/>
      <c r="J2227"/>
      <c r="M2227"/>
      <c r="O2227"/>
      <c r="Q2227"/>
      <c r="R2227"/>
      <c r="S2227"/>
      <c r="T2227"/>
      <c r="U2227"/>
      <c r="V2227"/>
      <c r="Z2227"/>
      <c r="AA2227"/>
    </row>
    <row r="2228" spans="7:27" x14ac:dyDescent="0.45">
      <c r="G2228"/>
      <c r="H2228"/>
      <c r="I2228"/>
      <c r="J2228"/>
      <c r="M2228"/>
      <c r="O2228"/>
      <c r="Q2228"/>
      <c r="R2228"/>
      <c r="S2228"/>
      <c r="T2228"/>
      <c r="U2228"/>
      <c r="V2228"/>
      <c r="Z2228"/>
      <c r="AA2228"/>
    </row>
    <row r="2229" spans="7:27" x14ac:dyDescent="0.45">
      <c r="G2229"/>
      <c r="H2229"/>
      <c r="I2229"/>
      <c r="J2229"/>
      <c r="M2229"/>
      <c r="O2229"/>
      <c r="Q2229"/>
      <c r="R2229"/>
      <c r="S2229"/>
      <c r="T2229"/>
      <c r="U2229"/>
      <c r="V2229"/>
      <c r="Z2229"/>
      <c r="AA2229"/>
    </row>
    <row r="2230" spans="7:27" x14ac:dyDescent="0.45">
      <c r="G2230"/>
      <c r="H2230"/>
      <c r="I2230"/>
      <c r="J2230"/>
      <c r="M2230"/>
      <c r="O2230"/>
      <c r="Q2230"/>
      <c r="R2230"/>
      <c r="S2230"/>
      <c r="T2230"/>
      <c r="U2230"/>
      <c r="V2230"/>
      <c r="Z2230"/>
      <c r="AA2230"/>
    </row>
    <row r="2231" spans="7:27" x14ac:dyDescent="0.45">
      <c r="G2231"/>
      <c r="H2231"/>
      <c r="I2231"/>
      <c r="J2231"/>
      <c r="M2231"/>
      <c r="O2231"/>
      <c r="Q2231"/>
      <c r="R2231"/>
      <c r="S2231"/>
      <c r="T2231"/>
      <c r="U2231"/>
      <c r="V2231"/>
      <c r="Z2231"/>
      <c r="AA2231"/>
    </row>
    <row r="2232" spans="7:27" x14ac:dyDescent="0.45">
      <c r="G2232"/>
      <c r="H2232"/>
      <c r="I2232"/>
      <c r="J2232"/>
      <c r="M2232"/>
      <c r="O2232"/>
      <c r="Q2232"/>
      <c r="R2232"/>
      <c r="S2232"/>
      <c r="T2232"/>
      <c r="U2232"/>
      <c r="V2232"/>
      <c r="Z2232"/>
      <c r="AA2232"/>
    </row>
    <row r="2233" spans="7:27" x14ac:dyDescent="0.45">
      <c r="G2233"/>
      <c r="H2233"/>
      <c r="I2233"/>
      <c r="J2233"/>
      <c r="M2233"/>
      <c r="O2233"/>
      <c r="Q2233"/>
      <c r="R2233"/>
      <c r="S2233"/>
      <c r="T2233"/>
      <c r="U2233"/>
      <c r="V2233"/>
      <c r="Z2233"/>
      <c r="AA2233"/>
    </row>
    <row r="2234" spans="7:27" x14ac:dyDescent="0.45">
      <c r="G2234"/>
      <c r="H2234"/>
      <c r="I2234"/>
      <c r="J2234"/>
      <c r="M2234"/>
      <c r="O2234"/>
      <c r="Q2234"/>
      <c r="R2234"/>
      <c r="S2234"/>
      <c r="T2234"/>
      <c r="U2234"/>
      <c r="V2234"/>
      <c r="Z2234"/>
      <c r="AA2234"/>
    </row>
    <row r="2235" spans="7:27" x14ac:dyDescent="0.45">
      <c r="G2235"/>
      <c r="H2235"/>
      <c r="I2235"/>
      <c r="J2235"/>
      <c r="M2235"/>
      <c r="O2235"/>
      <c r="Q2235"/>
      <c r="R2235"/>
      <c r="S2235"/>
      <c r="T2235"/>
      <c r="U2235"/>
      <c r="V2235"/>
      <c r="Z2235"/>
      <c r="AA2235"/>
    </row>
    <row r="2236" spans="7:27" x14ac:dyDescent="0.45">
      <c r="G2236"/>
      <c r="H2236"/>
      <c r="I2236"/>
      <c r="J2236"/>
      <c r="M2236"/>
      <c r="O2236"/>
      <c r="Q2236"/>
      <c r="R2236"/>
      <c r="S2236"/>
      <c r="T2236"/>
      <c r="U2236"/>
      <c r="V2236"/>
      <c r="Z2236"/>
      <c r="AA2236"/>
    </row>
    <row r="2237" spans="7:27" x14ac:dyDescent="0.45">
      <c r="G2237"/>
      <c r="H2237"/>
      <c r="I2237"/>
      <c r="J2237"/>
      <c r="M2237"/>
      <c r="O2237"/>
      <c r="Q2237"/>
      <c r="R2237"/>
      <c r="S2237"/>
      <c r="T2237"/>
      <c r="U2237"/>
      <c r="V2237"/>
      <c r="Z2237"/>
      <c r="AA2237"/>
    </row>
    <row r="2238" spans="7:27" x14ac:dyDescent="0.45">
      <c r="G2238"/>
      <c r="H2238"/>
      <c r="I2238"/>
      <c r="J2238"/>
      <c r="M2238"/>
      <c r="O2238"/>
      <c r="Q2238"/>
      <c r="R2238"/>
      <c r="S2238"/>
      <c r="T2238"/>
      <c r="U2238"/>
      <c r="V2238"/>
      <c r="Z2238"/>
      <c r="AA2238"/>
    </row>
    <row r="2239" spans="7:27" x14ac:dyDescent="0.45">
      <c r="G2239"/>
      <c r="H2239"/>
      <c r="I2239"/>
      <c r="J2239"/>
      <c r="M2239"/>
      <c r="O2239"/>
      <c r="Q2239"/>
      <c r="R2239"/>
      <c r="S2239"/>
      <c r="T2239"/>
      <c r="U2239"/>
      <c r="V2239"/>
      <c r="Z2239"/>
      <c r="AA2239"/>
    </row>
    <row r="2240" spans="7:27" x14ac:dyDescent="0.45">
      <c r="G2240"/>
      <c r="H2240"/>
      <c r="I2240"/>
      <c r="J2240"/>
      <c r="M2240"/>
      <c r="O2240"/>
      <c r="Q2240"/>
      <c r="R2240"/>
      <c r="S2240"/>
      <c r="T2240"/>
      <c r="U2240"/>
      <c r="V2240"/>
      <c r="Z2240"/>
      <c r="AA2240"/>
    </row>
    <row r="2241" spans="7:27" x14ac:dyDescent="0.45">
      <c r="G2241"/>
      <c r="H2241"/>
      <c r="I2241"/>
      <c r="J2241"/>
      <c r="M2241"/>
      <c r="O2241"/>
      <c r="Q2241"/>
      <c r="R2241"/>
      <c r="S2241"/>
      <c r="T2241"/>
      <c r="U2241"/>
      <c r="V2241"/>
      <c r="Z2241"/>
      <c r="AA2241"/>
    </row>
    <row r="2242" spans="7:27" x14ac:dyDescent="0.45">
      <c r="G2242"/>
      <c r="H2242"/>
      <c r="I2242"/>
      <c r="J2242"/>
      <c r="M2242"/>
      <c r="O2242"/>
      <c r="Q2242"/>
      <c r="R2242"/>
      <c r="S2242"/>
      <c r="T2242"/>
      <c r="U2242"/>
      <c r="V2242"/>
      <c r="Z2242"/>
      <c r="AA2242"/>
    </row>
    <row r="2243" spans="7:27" x14ac:dyDescent="0.45">
      <c r="G2243"/>
      <c r="H2243"/>
      <c r="I2243"/>
      <c r="J2243"/>
      <c r="M2243"/>
      <c r="O2243"/>
      <c r="Q2243"/>
      <c r="R2243"/>
      <c r="S2243"/>
      <c r="T2243"/>
      <c r="U2243"/>
      <c r="V2243"/>
      <c r="Z2243"/>
      <c r="AA2243"/>
    </row>
    <row r="2244" spans="7:27" x14ac:dyDescent="0.45">
      <c r="G2244"/>
      <c r="H2244"/>
      <c r="I2244"/>
      <c r="J2244"/>
      <c r="M2244"/>
      <c r="O2244"/>
      <c r="Q2244"/>
      <c r="R2244"/>
      <c r="S2244"/>
      <c r="T2244"/>
      <c r="U2244"/>
      <c r="V2244"/>
      <c r="Z2244"/>
      <c r="AA2244"/>
    </row>
    <row r="2245" spans="7:27" x14ac:dyDescent="0.45">
      <c r="G2245"/>
      <c r="H2245"/>
      <c r="I2245"/>
      <c r="J2245"/>
      <c r="M2245"/>
      <c r="O2245"/>
      <c r="Q2245"/>
      <c r="R2245"/>
      <c r="S2245"/>
      <c r="T2245"/>
      <c r="U2245"/>
      <c r="V2245"/>
      <c r="Z2245"/>
      <c r="AA2245"/>
    </row>
    <row r="2246" spans="7:27" x14ac:dyDescent="0.45">
      <c r="G2246"/>
      <c r="H2246"/>
      <c r="I2246"/>
      <c r="J2246"/>
      <c r="M2246"/>
      <c r="O2246"/>
      <c r="Q2246"/>
      <c r="R2246"/>
      <c r="S2246"/>
      <c r="T2246"/>
      <c r="U2246"/>
      <c r="V2246"/>
      <c r="Z2246"/>
      <c r="AA2246"/>
    </row>
    <row r="2247" spans="7:27" x14ac:dyDescent="0.45">
      <c r="G2247"/>
      <c r="H2247"/>
      <c r="I2247"/>
      <c r="J2247"/>
      <c r="M2247"/>
      <c r="O2247"/>
      <c r="Q2247"/>
      <c r="R2247"/>
      <c r="S2247"/>
      <c r="T2247"/>
      <c r="U2247"/>
      <c r="V2247"/>
      <c r="Z2247"/>
      <c r="AA2247"/>
    </row>
    <row r="2248" spans="7:27" x14ac:dyDescent="0.45">
      <c r="G2248"/>
      <c r="H2248"/>
      <c r="I2248"/>
      <c r="J2248"/>
      <c r="M2248"/>
      <c r="O2248"/>
      <c r="Q2248"/>
      <c r="R2248"/>
      <c r="S2248"/>
      <c r="T2248"/>
      <c r="U2248"/>
      <c r="V2248"/>
      <c r="Z2248"/>
      <c r="AA2248"/>
    </row>
    <row r="2249" spans="7:27" x14ac:dyDescent="0.45">
      <c r="G2249"/>
      <c r="H2249"/>
      <c r="I2249"/>
      <c r="J2249"/>
      <c r="M2249"/>
      <c r="O2249"/>
      <c r="Q2249"/>
      <c r="R2249"/>
      <c r="S2249"/>
      <c r="T2249"/>
      <c r="U2249"/>
      <c r="V2249"/>
      <c r="Z2249"/>
      <c r="AA2249"/>
    </row>
    <row r="2250" spans="7:27" x14ac:dyDescent="0.45">
      <c r="G2250"/>
      <c r="H2250"/>
      <c r="I2250"/>
      <c r="J2250"/>
      <c r="M2250"/>
      <c r="O2250"/>
      <c r="Q2250"/>
      <c r="R2250"/>
      <c r="S2250"/>
      <c r="T2250"/>
      <c r="U2250"/>
      <c r="V2250"/>
      <c r="Z2250"/>
      <c r="AA2250"/>
    </row>
    <row r="2251" spans="7:27" x14ac:dyDescent="0.45">
      <c r="G2251"/>
      <c r="H2251"/>
      <c r="I2251"/>
      <c r="J2251"/>
      <c r="M2251"/>
      <c r="O2251"/>
      <c r="Q2251"/>
      <c r="R2251"/>
      <c r="S2251"/>
      <c r="T2251"/>
      <c r="U2251"/>
      <c r="V2251"/>
      <c r="Z2251"/>
      <c r="AA2251"/>
    </row>
    <row r="2252" spans="7:27" x14ac:dyDescent="0.45">
      <c r="G2252"/>
      <c r="H2252"/>
      <c r="I2252"/>
      <c r="J2252"/>
      <c r="M2252"/>
      <c r="O2252"/>
      <c r="Q2252"/>
      <c r="R2252"/>
      <c r="S2252"/>
      <c r="T2252"/>
      <c r="U2252"/>
      <c r="V2252"/>
      <c r="Z2252"/>
      <c r="AA2252"/>
    </row>
    <row r="2253" spans="7:27" x14ac:dyDescent="0.45">
      <c r="G2253"/>
      <c r="H2253"/>
      <c r="I2253"/>
      <c r="J2253"/>
      <c r="M2253"/>
      <c r="O2253"/>
      <c r="Q2253"/>
      <c r="R2253"/>
      <c r="S2253"/>
      <c r="T2253"/>
      <c r="U2253"/>
      <c r="V2253"/>
      <c r="Z2253"/>
      <c r="AA2253"/>
    </row>
    <row r="2254" spans="7:27" x14ac:dyDescent="0.45">
      <c r="G2254"/>
      <c r="H2254"/>
      <c r="I2254"/>
      <c r="J2254"/>
      <c r="M2254"/>
      <c r="O2254"/>
      <c r="Q2254"/>
      <c r="R2254"/>
      <c r="S2254"/>
      <c r="T2254"/>
      <c r="U2254"/>
      <c r="V2254"/>
      <c r="Z2254"/>
      <c r="AA2254"/>
    </row>
    <row r="2255" spans="7:27" x14ac:dyDescent="0.45">
      <c r="G2255"/>
      <c r="H2255"/>
      <c r="I2255"/>
      <c r="J2255"/>
      <c r="M2255"/>
      <c r="O2255"/>
      <c r="Q2255"/>
      <c r="R2255"/>
      <c r="S2255"/>
      <c r="T2255"/>
      <c r="U2255"/>
      <c r="V2255"/>
      <c r="Z2255"/>
      <c r="AA2255"/>
    </row>
    <row r="2256" spans="7:27" x14ac:dyDescent="0.45">
      <c r="G2256"/>
      <c r="H2256"/>
      <c r="I2256"/>
      <c r="J2256"/>
      <c r="M2256"/>
      <c r="O2256"/>
      <c r="Q2256"/>
      <c r="R2256"/>
      <c r="S2256"/>
      <c r="T2256"/>
      <c r="U2256"/>
      <c r="V2256"/>
      <c r="Z2256"/>
      <c r="AA2256"/>
    </row>
    <row r="2257" spans="7:27" x14ac:dyDescent="0.45">
      <c r="G2257"/>
      <c r="H2257"/>
      <c r="I2257"/>
      <c r="J2257"/>
      <c r="M2257"/>
      <c r="O2257"/>
      <c r="Q2257"/>
      <c r="R2257"/>
      <c r="S2257"/>
      <c r="T2257"/>
      <c r="U2257"/>
      <c r="V2257"/>
      <c r="Z2257"/>
      <c r="AA2257"/>
    </row>
    <row r="2258" spans="7:27" x14ac:dyDescent="0.45">
      <c r="G2258"/>
      <c r="H2258"/>
      <c r="I2258"/>
      <c r="J2258"/>
      <c r="M2258"/>
      <c r="O2258"/>
      <c r="Q2258"/>
      <c r="R2258"/>
      <c r="S2258"/>
      <c r="T2258"/>
      <c r="U2258"/>
      <c r="V2258"/>
      <c r="Z2258"/>
      <c r="AA2258"/>
    </row>
    <row r="2259" spans="7:27" x14ac:dyDescent="0.45">
      <c r="G2259"/>
      <c r="H2259"/>
      <c r="I2259"/>
      <c r="J2259"/>
      <c r="M2259"/>
      <c r="O2259"/>
      <c r="Q2259"/>
      <c r="R2259"/>
      <c r="S2259"/>
      <c r="T2259"/>
      <c r="U2259"/>
      <c r="V2259"/>
      <c r="Z2259"/>
      <c r="AA2259"/>
    </row>
    <row r="2260" spans="7:27" x14ac:dyDescent="0.45">
      <c r="G2260"/>
      <c r="H2260"/>
      <c r="I2260"/>
      <c r="J2260"/>
      <c r="M2260"/>
      <c r="O2260"/>
      <c r="Q2260"/>
      <c r="R2260"/>
      <c r="S2260"/>
      <c r="T2260"/>
      <c r="U2260"/>
      <c r="V2260"/>
      <c r="Z2260"/>
      <c r="AA2260"/>
    </row>
    <row r="2261" spans="7:27" x14ac:dyDescent="0.45">
      <c r="G2261"/>
      <c r="H2261"/>
      <c r="I2261"/>
      <c r="J2261"/>
      <c r="M2261"/>
      <c r="O2261"/>
      <c r="Q2261"/>
      <c r="R2261"/>
      <c r="S2261"/>
      <c r="T2261"/>
      <c r="U2261"/>
      <c r="V2261"/>
      <c r="Z2261"/>
      <c r="AA2261"/>
    </row>
    <row r="2262" spans="7:27" x14ac:dyDescent="0.45">
      <c r="G2262"/>
      <c r="H2262"/>
      <c r="I2262"/>
      <c r="J2262"/>
      <c r="M2262"/>
      <c r="O2262"/>
      <c r="Q2262"/>
      <c r="R2262"/>
      <c r="S2262"/>
      <c r="T2262"/>
      <c r="U2262"/>
      <c r="V2262"/>
      <c r="Z2262"/>
      <c r="AA2262"/>
    </row>
    <row r="2263" spans="7:27" x14ac:dyDescent="0.45">
      <c r="G2263"/>
      <c r="H2263"/>
      <c r="I2263"/>
      <c r="J2263"/>
      <c r="M2263"/>
      <c r="O2263"/>
      <c r="Q2263"/>
      <c r="R2263"/>
      <c r="S2263"/>
      <c r="T2263"/>
      <c r="U2263"/>
      <c r="V2263"/>
      <c r="Z2263"/>
      <c r="AA2263"/>
    </row>
    <row r="2264" spans="7:27" x14ac:dyDescent="0.45">
      <c r="G2264"/>
      <c r="H2264"/>
      <c r="I2264"/>
      <c r="J2264"/>
      <c r="M2264"/>
      <c r="O2264"/>
      <c r="Q2264"/>
      <c r="R2264"/>
      <c r="S2264"/>
      <c r="T2264"/>
      <c r="U2264"/>
      <c r="V2264"/>
      <c r="Z2264"/>
      <c r="AA2264"/>
    </row>
    <row r="2265" spans="7:27" x14ac:dyDescent="0.45">
      <c r="G2265"/>
      <c r="H2265"/>
      <c r="I2265"/>
      <c r="J2265"/>
      <c r="M2265"/>
      <c r="O2265"/>
      <c r="Q2265"/>
      <c r="R2265"/>
      <c r="S2265"/>
      <c r="T2265"/>
      <c r="U2265"/>
      <c r="V2265"/>
      <c r="Z2265"/>
      <c r="AA2265"/>
    </row>
    <row r="2266" spans="7:27" x14ac:dyDescent="0.45">
      <c r="G2266"/>
      <c r="H2266"/>
      <c r="I2266"/>
      <c r="J2266"/>
      <c r="M2266"/>
      <c r="O2266"/>
      <c r="Q2266"/>
      <c r="R2266"/>
      <c r="S2266"/>
      <c r="T2266"/>
      <c r="U2266"/>
      <c r="V2266"/>
      <c r="Z2266"/>
      <c r="AA2266"/>
    </row>
    <row r="2267" spans="7:27" x14ac:dyDescent="0.45">
      <c r="G2267"/>
      <c r="H2267"/>
      <c r="I2267"/>
      <c r="J2267"/>
      <c r="M2267"/>
      <c r="O2267"/>
      <c r="Q2267"/>
      <c r="R2267"/>
      <c r="S2267"/>
      <c r="T2267"/>
      <c r="U2267"/>
      <c r="V2267"/>
      <c r="Z2267"/>
      <c r="AA2267"/>
    </row>
    <row r="2268" spans="7:27" x14ac:dyDescent="0.45">
      <c r="G2268"/>
      <c r="H2268"/>
      <c r="I2268"/>
      <c r="J2268"/>
      <c r="M2268"/>
      <c r="O2268"/>
      <c r="Q2268"/>
      <c r="R2268"/>
      <c r="S2268"/>
      <c r="T2268"/>
      <c r="U2268"/>
      <c r="V2268"/>
      <c r="Z2268"/>
      <c r="AA2268"/>
    </row>
    <row r="2269" spans="7:27" x14ac:dyDescent="0.45">
      <c r="G2269"/>
      <c r="H2269"/>
      <c r="I2269"/>
      <c r="J2269"/>
      <c r="M2269"/>
      <c r="O2269"/>
      <c r="Q2269"/>
      <c r="R2269"/>
      <c r="S2269"/>
      <c r="T2269"/>
      <c r="U2269"/>
      <c r="V2269"/>
      <c r="Z2269"/>
      <c r="AA2269"/>
    </row>
    <row r="2270" spans="7:27" x14ac:dyDescent="0.45">
      <c r="G2270"/>
      <c r="H2270"/>
      <c r="I2270"/>
      <c r="J2270"/>
      <c r="M2270"/>
      <c r="O2270"/>
      <c r="Q2270"/>
      <c r="R2270"/>
      <c r="S2270"/>
      <c r="T2270"/>
      <c r="U2270"/>
      <c r="V2270"/>
      <c r="Z2270"/>
      <c r="AA2270"/>
    </row>
    <row r="2271" spans="7:27" x14ac:dyDescent="0.45">
      <c r="G2271"/>
      <c r="H2271"/>
      <c r="I2271"/>
      <c r="J2271"/>
      <c r="M2271"/>
      <c r="O2271"/>
      <c r="Q2271"/>
      <c r="R2271"/>
      <c r="S2271"/>
      <c r="T2271"/>
      <c r="U2271"/>
      <c r="V2271"/>
      <c r="Z2271"/>
      <c r="AA2271"/>
    </row>
    <row r="2272" spans="7:27" x14ac:dyDescent="0.45">
      <c r="G2272"/>
      <c r="H2272"/>
      <c r="I2272"/>
      <c r="J2272"/>
      <c r="M2272"/>
      <c r="O2272"/>
      <c r="Q2272"/>
      <c r="R2272"/>
      <c r="S2272"/>
      <c r="T2272"/>
      <c r="U2272"/>
      <c r="V2272"/>
      <c r="Z2272"/>
      <c r="AA2272"/>
    </row>
    <row r="2273" spans="7:27" x14ac:dyDescent="0.45">
      <c r="G2273"/>
      <c r="H2273"/>
      <c r="I2273"/>
      <c r="J2273"/>
      <c r="M2273"/>
      <c r="O2273"/>
      <c r="Q2273"/>
      <c r="R2273"/>
      <c r="S2273"/>
      <c r="T2273"/>
      <c r="U2273"/>
      <c r="V2273"/>
      <c r="Z2273"/>
      <c r="AA2273"/>
    </row>
    <row r="2274" spans="7:27" x14ac:dyDescent="0.45">
      <c r="G2274"/>
      <c r="H2274"/>
      <c r="I2274"/>
      <c r="J2274"/>
      <c r="M2274"/>
      <c r="O2274"/>
      <c r="Q2274"/>
      <c r="R2274"/>
      <c r="S2274"/>
      <c r="T2274"/>
      <c r="U2274"/>
      <c r="V2274"/>
      <c r="Z2274"/>
      <c r="AA2274"/>
    </row>
    <row r="2275" spans="7:27" x14ac:dyDescent="0.45">
      <c r="G2275"/>
      <c r="H2275"/>
      <c r="I2275"/>
      <c r="J2275"/>
      <c r="M2275"/>
      <c r="O2275"/>
      <c r="Q2275"/>
      <c r="R2275"/>
      <c r="S2275"/>
      <c r="T2275"/>
      <c r="U2275"/>
      <c r="V2275"/>
      <c r="Z2275"/>
      <c r="AA2275"/>
    </row>
    <row r="2276" spans="7:27" x14ac:dyDescent="0.45">
      <c r="G2276"/>
      <c r="H2276"/>
      <c r="I2276"/>
      <c r="J2276"/>
      <c r="M2276"/>
      <c r="O2276"/>
      <c r="Q2276"/>
      <c r="R2276"/>
      <c r="S2276"/>
      <c r="T2276"/>
      <c r="U2276"/>
      <c r="V2276"/>
      <c r="Z2276"/>
      <c r="AA2276"/>
    </row>
    <row r="2277" spans="7:27" x14ac:dyDescent="0.45">
      <c r="G2277"/>
      <c r="H2277"/>
      <c r="I2277"/>
      <c r="J2277"/>
      <c r="M2277"/>
      <c r="O2277"/>
      <c r="Q2277"/>
      <c r="R2277"/>
      <c r="S2277"/>
      <c r="T2277"/>
      <c r="U2277"/>
      <c r="V2277"/>
      <c r="Z2277"/>
      <c r="AA2277"/>
    </row>
    <row r="2278" spans="7:27" x14ac:dyDescent="0.45">
      <c r="G2278"/>
      <c r="H2278"/>
      <c r="I2278"/>
      <c r="J2278"/>
      <c r="M2278"/>
      <c r="O2278"/>
      <c r="Q2278"/>
      <c r="R2278"/>
      <c r="S2278"/>
      <c r="T2278"/>
      <c r="U2278"/>
      <c r="V2278"/>
      <c r="Z2278"/>
      <c r="AA2278"/>
    </row>
    <row r="2279" spans="7:27" x14ac:dyDescent="0.45">
      <c r="G2279"/>
      <c r="H2279"/>
      <c r="I2279"/>
      <c r="J2279"/>
      <c r="M2279"/>
      <c r="O2279"/>
      <c r="Q2279"/>
      <c r="R2279"/>
      <c r="S2279"/>
      <c r="T2279"/>
      <c r="U2279"/>
      <c r="V2279"/>
      <c r="Z2279"/>
      <c r="AA2279"/>
    </row>
    <row r="2280" spans="7:27" x14ac:dyDescent="0.45">
      <c r="G2280"/>
      <c r="H2280"/>
      <c r="I2280"/>
      <c r="J2280"/>
      <c r="M2280"/>
      <c r="O2280"/>
      <c r="Q2280"/>
      <c r="R2280"/>
      <c r="S2280"/>
      <c r="T2280"/>
      <c r="U2280"/>
      <c r="V2280"/>
      <c r="Z2280"/>
      <c r="AA2280"/>
    </row>
    <row r="2281" spans="7:27" x14ac:dyDescent="0.45">
      <c r="G2281"/>
      <c r="H2281"/>
      <c r="I2281"/>
      <c r="J2281"/>
      <c r="M2281"/>
      <c r="O2281"/>
      <c r="Q2281"/>
      <c r="R2281"/>
      <c r="S2281"/>
      <c r="T2281"/>
      <c r="U2281"/>
      <c r="V2281"/>
      <c r="Z2281"/>
      <c r="AA2281"/>
    </row>
    <row r="2282" spans="7:27" x14ac:dyDescent="0.45">
      <c r="G2282"/>
      <c r="H2282"/>
      <c r="I2282"/>
      <c r="J2282"/>
      <c r="M2282"/>
      <c r="O2282"/>
      <c r="Q2282"/>
      <c r="R2282"/>
      <c r="S2282"/>
      <c r="T2282"/>
      <c r="U2282"/>
      <c r="V2282"/>
      <c r="Z2282"/>
      <c r="AA2282"/>
    </row>
    <row r="2283" spans="7:27" x14ac:dyDescent="0.45">
      <c r="G2283"/>
      <c r="H2283"/>
      <c r="I2283"/>
      <c r="J2283"/>
      <c r="M2283"/>
      <c r="O2283"/>
      <c r="Q2283"/>
      <c r="R2283"/>
      <c r="S2283"/>
      <c r="T2283"/>
      <c r="U2283"/>
      <c r="V2283"/>
      <c r="Z2283"/>
      <c r="AA2283"/>
    </row>
    <row r="2284" spans="7:27" x14ac:dyDescent="0.45">
      <c r="G2284"/>
      <c r="H2284"/>
      <c r="I2284"/>
      <c r="J2284"/>
      <c r="M2284"/>
      <c r="O2284"/>
      <c r="Q2284"/>
      <c r="R2284"/>
      <c r="S2284"/>
      <c r="T2284"/>
      <c r="U2284"/>
      <c r="V2284"/>
      <c r="Z2284"/>
      <c r="AA2284"/>
    </row>
    <row r="2285" spans="7:27" x14ac:dyDescent="0.45">
      <c r="G2285"/>
      <c r="H2285"/>
      <c r="I2285"/>
      <c r="J2285"/>
      <c r="M2285"/>
      <c r="O2285"/>
      <c r="Q2285"/>
      <c r="R2285"/>
      <c r="S2285"/>
      <c r="T2285"/>
      <c r="U2285"/>
      <c r="V2285"/>
      <c r="Z2285"/>
      <c r="AA2285"/>
    </row>
    <row r="2286" spans="7:27" x14ac:dyDescent="0.45">
      <c r="G2286"/>
      <c r="H2286"/>
      <c r="I2286"/>
      <c r="J2286"/>
      <c r="M2286"/>
      <c r="O2286"/>
      <c r="Q2286"/>
      <c r="R2286"/>
      <c r="S2286"/>
      <c r="T2286"/>
      <c r="U2286"/>
      <c r="V2286"/>
      <c r="Z2286"/>
      <c r="AA2286"/>
    </row>
    <row r="2287" spans="7:27" x14ac:dyDescent="0.45">
      <c r="G2287"/>
      <c r="H2287"/>
      <c r="I2287"/>
      <c r="J2287"/>
      <c r="M2287"/>
      <c r="O2287"/>
      <c r="Q2287"/>
      <c r="R2287"/>
      <c r="S2287"/>
      <c r="T2287"/>
      <c r="U2287"/>
      <c r="V2287"/>
      <c r="Z2287"/>
      <c r="AA2287"/>
    </row>
    <row r="2288" spans="7:27" x14ac:dyDescent="0.45">
      <c r="G2288"/>
      <c r="H2288"/>
      <c r="I2288"/>
      <c r="J2288"/>
      <c r="M2288"/>
      <c r="O2288"/>
      <c r="Q2288"/>
      <c r="R2288"/>
      <c r="S2288"/>
      <c r="T2288"/>
      <c r="U2288"/>
      <c r="V2288"/>
      <c r="Z2288"/>
      <c r="AA2288"/>
    </row>
    <row r="2289" spans="7:27" x14ac:dyDescent="0.45">
      <c r="G2289"/>
      <c r="H2289"/>
      <c r="I2289"/>
      <c r="J2289"/>
      <c r="M2289"/>
      <c r="O2289"/>
      <c r="Q2289"/>
      <c r="R2289"/>
      <c r="S2289"/>
      <c r="T2289"/>
      <c r="U2289"/>
      <c r="V2289"/>
      <c r="Z2289"/>
      <c r="AA2289"/>
    </row>
    <row r="2290" spans="7:27" x14ac:dyDescent="0.45">
      <c r="G2290"/>
      <c r="H2290"/>
      <c r="I2290"/>
      <c r="J2290"/>
      <c r="M2290"/>
      <c r="O2290"/>
      <c r="Q2290"/>
      <c r="R2290"/>
      <c r="S2290"/>
      <c r="T2290"/>
      <c r="U2290"/>
      <c r="V2290"/>
      <c r="Z2290"/>
      <c r="AA2290"/>
    </row>
    <row r="2291" spans="7:27" x14ac:dyDescent="0.45">
      <c r="G2291"/>
      <c r="H2291"/>
      <c r="I2291"/>
      <c r="J2291"/>
      <c r="M2291"/>
      <c r="O2291"/>
      <c r="Q2291"/>
      <c r="R2291"/>
      <c r="S2291"/>
      <c r="T2291"/>
      <c r="U2291"/>
      <c r="V2291"/>
      <c r="Z2291"/>
      <c r="AA2291"/>
    </row>
    <row r="2292" spans="7:27" x14ac:dyDescent="0.45">
      <c r="G2292"/>
      <c r="H2292"/>
      <c r="I2292"/>
      <c r="J2292"/>
      <c r="M2292"/>
      <c r="O2292"/>
      <c r="Q2292"/>
      <c r="R2292"/>
      <c r="S2292"/>
      <c r="T2292"/>
      <c r="U2292"/>
      <c r="V2292"/>
      <c r="Z2292"/>
      <c r="AA2292"/>
    </row>
    <row r="2293" spans="7:27" x14ac:dyDescent="0.45">
      <c r="G2293"/>
      <c r="H2293"/>
      <c r="I2293"/>
      <c r="J2293"/>
      <c r="M2293"/>
      <c r="O2293"/>
      <c r="Q2293"/>
      <c r="R2293"/>
      <c r="S2293"/>
      <c r="T2293"/>
      <c r="U2293"/>
      <c r="V2293"/>
      <c r="Z2293"/>
      <c r="AA2293"/>
    </row>
    <row r="2294" spans="7:27" x14ac:dyDescent="0.45">
      <c r="G2294"/>
      <c r="H2294"/>
      <c r="I2294"/>
      <c r="J2294"/>
      <c r="M2294"/>
      <c r="O2294"/>
      <c r="Q2294"/>
      <c r="R2294"/>
      <c r="S2294"/>
      <c r="T2294"/>
      <c r="U2294"/>
      <c r="V2294"/>
      <c r="Z2294"/>
      <c r="AA2294"/>
    </row>
    <row r="2295" spans="7:27" x14ac:dyDescent="0.45">
      <c r="G2295"/>
      <c r="H2295"/>
      <c r="I2295"/>
      <c r="J2295"/>
      <c r="M2295"/>
      <c r="O2295"/>
      <c r="Q2295"/>
      <c r="R2295"/>
      <c r="S2295"/>
      <c r="T2295"/>
      <c r="U2295"/>
      <c r="V2295"/>
      <c r="Z2295"/>
      <c r="AA2295"/>
    </row>
    <row r="2296" spans="7:27" x14ac:dyDescent="0.45">
      <c r="G2296"/>
      <c r="H2296"/>
      <c r="I2296"/>
      <c r="J2296"/>
      <c r="M2296"/>
      <c r="O2296"/>
      <c r="Q2296"/>
      <c r="R2296"/>
      <c r="S2296"/>
      <c r="T2296"/>
      <c r="U2296"/>
      <c r="V2296"/>
      <c r="Z2296"/>
      <c r="AA2296"/>
    </row>
    <row r="2297" spans="7:27" x14ac:dyDescent="0.45">
      <c r="G2297"/>
      <c r="H2297"/>
      <c r="I2297"/>
      <c r="J2297"/>
      <c r="M2297"/>
      <c r="O2297"/>
      <c r="Q2297"/>
      <c r="R2297"/>
      <c r="S2297"/>
      <c r="T2297"/>
      <c r="U2297"/>
      <c r="V2297"/>
      <c r="Z2297"/>
      <c r="AA2297"/>
    </row>
    <row r="2298" spans="7:27" x14ac:dyDescent="0.45">
      <c r="G2298"/>
      <c r="H2298"/>
      <c r="I2298"/>
      <c r="J2298"/>
      <c r="M2298"/>
      <c r="O2298"/>
      <c r="Q2298"/>
      <c r="R2298"/>
      <c r="S2298"/>
      <c r="T2298"/>
      <c r="U2298"/>
      <c r="V2298"/>
      <c r="Z2298"/>
      <c r="AA2298"/>
    </row>
    <row r="2299" spans="7:27" x14ac:dyDescent="0.45">
      <c r="G2299"/>
      <c r="H2299"/>
      <c r="I2299"/>
      <c r="J2299"/>
      <c r="M2299"/>
      <c r="O2299"/>
      <c r="Q2299"/>
      <c r="R2299"/>
      <c r="S2299"/>
      <c r="T2299"/>
      <c r="U2299"/>
      <c r="V2299"/>
      <c r="Z2299"/>
      <c r="AA2299"/>
    </row>
    <row r="2300" spans="7:27" x14ac:dyDescent="0.45">
      <c r="G2300"/>
      <c r="H2300"/>
      <c r="I2300"/>
      <c r="J2300"/>
      <c r="M2300"/>
      <c r="O2300"/>
      <c r="Q2300"/>
      <c r="R2300"/>
      <c r="S2300"/>
      <c r="T2300"/>
      <c r="U2300"/>
      <c r="V2300"/>
      <c r="Z2300"/>
      <c r="AA2300"/>
    </row>
    <row r="2301" spans="7:27" x14ac:dyDescent="0.45">
      <c r="G2301"/>
      <c r="H2301"/>
      <c r="I2301"/>
      <c r="J2301"/>
      <c r="M2301"/>
      <c r="O2301"/>
      <c r="Q2301"/>
      <c r="R2301"/>
      <c r="S2301"/>
      <c r="T2301"/>
      <c r="U2301"/>
      <c r="V2301"/>
      <c r="Z2301"/>
      <c r="AA2301"/>
    </row>
    <row r="2302" spans="7:27" x14ac:dyDescent="0.45">
      <c r="G2302"/>
      <c r="H2302"/>
      <c r="I2302"/>
      <c r="J2302"/>
      <c r="M2302"/>
      <c r="O2302"/>
      <c r="Q2302"/>
      <c r="R2302"/>
      <c r="S2302"/>
      <c r="T2302"/>
      <c r="U2302"/>
      <c r="V2302"/>
      <c r="Z2302"/>
      <c r="AA2302"/>
    </row>
    <row r="2303" spans="7:27" x14ac:dyDescent="0.45">
      <c r="G2303"/>
      <c r="H2303"/>
      <c r="I2303"/>
      <c r="J2303"/>
      <c r="M2303"/>
      <c r="O2303"/>
      <c r="Q2303"/>
      <c r="R2303"/>
      <c r="S2303"/>
      <c r="T2303"/>
      <c r="U2303"/>
      <c r="V2303"/>
      <c r="Z2303"/>
      <c r="AA2303"/>
    </row>
    <row r="2304" spans="7:27" x14ac:dyDescent="0.45">
      <c r="G2304"/>
      <c r="H2304"/>
      <c r="I2304"/>
      <c r="J2304"/>
      <c r="M2304"/>
      <c r="O2304"/>
      <c r="Q2304"/>
      <c r="R2304"/>
      <c r="S2304"/>
      <c r="T2304"/>
      <c r="U2304"/>
      <c r="V2304"/>
      <c r="Z2304"/>
      <c r="AA2304"/>
    </row>
    <row r="2305" spans="7:27" x14ac:dyDescent="0.45">
      <c r="G2305"/>
      <c r="H2305"/>
      <c r="I2305"/>
      <c r="J2305"/>
      <c r="M2305"/>
      <c r="O2305"/>
      <c r="Q2305"/>
      <c r="R2305"/>
      <c r="S2305"/>
      <c r="T2305"/>
      <c r="U2305"/>
      <c r="V2305"/>
      <c r="Z2305"/>
      <c r="AA2305"/>
    </row>
    <row r="2306" spans="7:27" x14ac:dyDescent="0.45">
      <c r="G2306"/>
      <c r="H2306"/>
      <c r="I2306"/>
      <c r="J2306"/>
      <c r="M2306"/>
      <c r="O2306"/>
      <c r="Q2306"/>
      <c r="R2306"/>
      <c r="S2306"/>
      <c r="T2306"/>
      <c r="U2306"/>
      <c r="V2306"/>
      <c r="Z2306"/>
      <c r="AA2306"/>
    </row>
    <row r="2307" spans="7:27" x14ac:dyDescent="0.45">
      <c r="G2307"/>
      <c r="H2307"/>
      <c r="I2307"/>
      <c r="J2307"/>
      <c r="M2307"/>
      <c r="O2307"/>
      <c r="Q2307"/>
      <c r="R2307"/>
      <c r="S2307"/>
      <c r="T2307"/>
      <c r="U2307"/>
      <c r="V2307"/>
      <c r="Z2307"/>
      <c r="AA2307"/>
    </row>
    <row r="2308" spans="7:27" x14ac:dyDescent="0.45">
      <c r="G2308"/>
      <c r="H2308"/>
      <c r="I2308"/>
      <c r="J2308"/>
      <c r="M2308"/>
      <c r="O2308"/>
      <c r="Q2308"/>
      <c r="R2308"/>
      <c r="S2308"/>
      <c r="T2308"/>
      <c r="U2308"/>
      <c r="V2308"/>
      <c r="Z2308"/>
      <c r="AA2308"/>
    </row>
    <row r="2309" spans="7:27" x14ac:dyDescent="0.45">
      <c r="G2309"/>
      <c r="H2309"/>
      <c r="I2309"/>
      <c r="J2309"/>
      <c r="M2309"/>
      <c r="O2309"/>
      <c r="Q2309"/>
      <c r="R2309"/>
      <c r="S2309"/>
      <c r="T2309"/>
      <c r="U2309"/>
      <c r="V2309"/>
      <c r="Z2309"/>
      <c r="AA2309"/>
    </row>
    <row r="2310" spans="7:27" x14ac:dyDescent="0.45">
      <c r="G2310"/>
      <c r="H2310"/>
      <c r="I2310"/>
      <c r="J2310"/>
      <c r="M2310"/>
      <c r="O2310"/>
      <c r="Q2310"/>
      <c r="R2310"/>
      <c r="S2310"/>
      <c r="T2310"/>
      <c r="U2310"/>
      <c r="V2310"/>
      <c r="Z2310"/>
      <c r="AA2310"/>
    </row>
    <row r="2311" spans="7:27" x14ac:dyDescent="0.45">
      <c r="G2311"/>
      <c r="H2311"/>
      <c r="I2311"/>
      <c r="J2311"/>
      <c r="M2311"/>
      <c r="O2311"/>
      <c r="Q2311"/>
      <c r="R2311"/>
      <c r="S2311"/>
      <c r="T2311"/>
      <c r="U2311"/>
      <c r="V2311"/>
      <c r="Z2311"/>
      <c r="AA2311"/>
    </row>
    <row r="2312" spans="7:27" x14ac:dyDescent="0.45">
      <c r="G2312"/>
      <c r="H2312"/>
      <c r="I2312"/>
      <c r="J2312"/>
      <c r="M2312"/>
      <c r="O2312"/>
      <c r="Q2312"/>
      <c r="R2312"/>
      <c r="S2312"/>
      <c r="T2312"/>
      <c r="U2312"/>
      <c r="V2312"/>
      <c r="Z2312"/>
      <c r="AA2312"/>
    </row>
    <row r="2313" spans="7:27" x14ac:dyDescent="0.45">
      <c r="G2313"/>
      <c r="H2313"/>
      <c r="I2313"/>
      <c r="J2313"/>
      <c r="M2313"/>
      <c r="O2313"/>
      <c r="Q2313"/>
      <c r="R2313"/>
      <c r="S2313"/>
      <c r="T2313"/>
      <c r="U2313"/>
      <c r="V2313"/>
      <c r="Z2313"/>
      <c r="AA2313"/>
    </row>
    <row r="2314" spans="7:27" x14ac:dyDescent="0.45">
      <c r="G2314"/>
      <c r="H2314"/>
      <c r="I2314"/>
      <c r="J2314"/>
      <c r="M2314"/>
      <c r="O2314"/>
      <c r="Q2314"/>
      <c r="R2314"/>
      <c r="S2314"/>
      <c r="T2314"/>
      <c r="U2314"/>
      <c r="V2314"/>
      <c r="Z2314"/>
      <c r="AA2314"/>
    </row>
    <row r="2315" spans="7:27" x14ac:dyDescent="0.45">
      <c r="G2315"/>
      <c r="H2315"/>
      <c r="I2315"/>
      <c r="J2315"/>
      <c r="M2315"/>
      <c r="O2315"/>
      <c r="Q2315"/>
      <c r="R2315"/>
      <c r="S2315"/>
      <c r="T2315"/>
      <c r="U2315"/>
      <c r="V2315"/>
      <c r="Z2315"/>
      <c r="AA2315"/>
    </row>
    <row r="2316" spans="7:27" x14ac:dyDescent="0.45">
      <c r="G2316"/>
      <c r="H2316"/>
      <c r="I2316"/>
      <c r="J2316"/>
      <c r="M2316"/>
      <c r="O2316"/>
      <c r="Q2316"/>
      <c r="R2316"/>
      <c r="S2316"/>
      <c r="T2316"/>
      <c r="U2316"/>
      <c r="V2316"/>
      <c r="Z2316"/>
      <c r="AA2316"/>
    </row>
    <row r="2317" spans="7:27" x14ac:dyDescent="0.45">
      <c r="G2317"/>
      <c r="H2317"/>
      <c r="I2317"/>
      <c r="J2317"/>
      <c r="M2317"/>
      <c r="O2317"/>
      <c r="Q2317"/>
      <c r="R2317"/>
      <c r="S2317"/>
      <c r="T2317"/>
      <c r="U2317"/>
      <c r="V2317"/>
      <c r="Z2317"/>
      <c r="AA2317"/>
    </row>
    <row r="2318" spans="7:27" x14ac:dyDescent="0.45">
      <c r="G2318"/>
      <c r="H2318"/>
      <c r="I2318"/>
      <c r="J2318"/>
      <c r="M2318"/>
      <c r="O2318"/>
      <c r="Q2318"/>
      <c r="R2318"/>
      <c r="S2318"/>
      <c r="T2318"/>
      <c r="U2318"/>
      <c r="V2318"/>
      <c r="Z2318"/>
      <c r="AA2318"/>
    </row>
    <row r="2319" spans="7:27" x14ac:dyDescent="0.45">
      <c r="G2319"/>
      <c r="H2319"/>
      <c r="I2319"/>
      <c r="J2319"/>
      <c r="M2319"/>
      <c r="O2319"/>
      <c r="Q2319"/>
      <c r="R2319"/>
      <c r="S2319"/>
      <c r="T2319"/>
      <c r="U2319"/>
      <c r="V2319"/>
      <c r="Z2319"/>
      <c r="AA2319"/>
    </row>
    <row r="2320" spans="7:27" x14ac:dyDescent="0.45">
      <c r="G2320"/>
      <c r="H2320"/>
      <c r="I2320"/>
      <c r="J2320"/>
      <c r="M2320"/>
      <c r="O2320"/>
      <c r="Q2320"/>
      <c r="R2320"/>
      <c r="S2320"/>
      <c r="T2320"/>
      <c r="U2320"/>
      <c r="V2320"/>
      <c r="Z2320"/>
      <c r="AA2320"/>
    </row>
    <row r="2321" spans="7:27" x14ac:dyDescent="0.45">
      <c r="G2321"/>
      <c r="H2321"/>
      <c r="I2321"/>
      <c r="J2321"/>
      <c r="M2321"/>
      <c r="O2321"/>
      <c r="Q2321"/>
      <c r="R2321"/>
      <c r="S2321"/>
      <c r="T2321"/>
      <c r="U2321"/>
      <c r="V2321"/>
      <c r="Z2321"/>
      <c r="AA2321"/>
    </row>
    <row r="2322" spans="7:27" x14ac:dyDescent="0.45">
      <c r="G2322"/>
      <c r="H2322"/>
      <c r="I2322"/>
      <c r="J2322"/>
      <c r="M2322"/>
      <c r="O2322"/>
      <c r="Q2322"/>
      <c r="R2322"/>
      <c r="S2322"/>
      <c r="T2322"/>
      <c r="U2322"/>
      <c r="V2322"/>
      <c r="Z2322"/>
      <c r="AA2322"/>
    </row>
    <row r="2323" spans="7:27" x14ac:dyDescent="0.45">
      <c r="G2323"/>
      <c r="H2323"/>
      <c r="I2323"/>
      <c r="J2323"/>
      <c r="M2323"/>
      <c r="O2323"/>
      <c r="Q2323"/>
      <c r="R2323"/>
      <c r="S2323"/>
      <c r="T2323"/>
      <c r="U2323"/>
      <c r="V2323"/>
      <c r="Z2323"/>
      <c r="AA2323"/>
    </row>
    <row r="2324" spans="7:27" x14ac:dyDescent="0.45">
      <c r="G2324"/>
      <c r="H2324"/>
      <c r="I2324"/>
      <c r="J2324"/>
      <c r="M2324"/>
      <c r="O2324"/>
      <c r="Q2324"/>
      <c r="R2324"/>
      <c r="S2324"/>
      <c r="T2324"/>
      <c r="U2324"/>
      <c r="V2324"/>
      <c r="Z2324"/>
      <c r="AA2324"/>
    </row>
    <row r="2325" spans="7:27" x14ac:dyDescent="0.45">
      <c r="G2325"/>
      <c r="H2325"/>
      <c r="I2325"/>
      <c r="J2325"/>
      <c r="M2325"/>
      <c r="O2325"/>
      <c r="Q2325"/>
      <c r="R2325"/>
      <c r="S2325"/>
      <c r="T2325"/>
      <c r="U2325"/>
      <c r="V2325"/>
      <c r="Z2325"/>
      <c r="AA2325"/>
    </row>
    <row r="2326" spans="7:27" x14ac:dyDescent="0.45">
      <c r="G2326"/>
      <c r="H2326"/>
      <c r="I2326"/>
      <c r="J2326"/>
      <c r="M2326"/>
      <c r="O2326"/>
      <c r="Q2326"/>
      <c r="R2326"/>
      <c r="S2326"/>
      <c r="T2326"/>
      <c r="U2326"/>
      <c r="V2326"/>
      <c r="Z2326"/>
      <c r="AA2326"/>
    </row>
    <row r="2327" spans="7:27" x14ac:dyDescent="0.45">
      <c r="G2327"/>
      <c r="H2327"/>
      <c r="I2327"/>
      <c r="J2327"/>
      <c r="M2327"/>
      <c r="O2327"/>
      <c r="Q2327"/>
      <c r="R2327"/>
      <c r="S2327"/>
      <c r="T2327"/>
      <c r="U2327"/>
      <c r="V2327"/>
      <c r="Z2327"/>
      <c r="AA2327"/>
    </row>
    <row r="2328" spans="7:27" x14ac:dyDescent="0.45">
      <c r="G2328"/>
      <c r="H2328"/>
      <c r="I2328"/>
      <c r="J2328"/>
      <c r="M2328"/>
      <c r="O2328"/>
      <c r="Q2328"/>
      <c r="R2328"/>
      <c r="S2328"/>
      <c r="T2328"/>
      <c r="U2328"/>
      <c r="V2328"/>
      <c r="Z2328"/>
      <c r="AA2328"/>
    </row>
    <row r="2329" spans="7:27" x14ac:dyDescent="0.45">
      <c r="G2329"/>
      <c r="H2329"/>
      <c r="I2329"/>
      <c r="J2329"/>
      <c r="M2329"/>
      <c r="O2329"/>
      <c r="Q2329"/>
      <c r="R2329"/>
      <c r="S2329"/>
      <c r="T2329"/>
      <c r="U2329"/>
      <c r="V2329"/>
      <c r="Z2329"/>
      <c r="AA2329"/>
    </row>
    <row r="2330" spans="7:27" x14ac:dyDescent="0.45">
      <c r="G2330"/>
      <c r="H2330"/>
      <c r="I2330"/>
      <c r="J2330"/>
      <c r="M2330"/>
      <c r="O2330"/>
      <c r="Q2330"/>
      <c r="R2330"/>
      <c r="S2330"/>
      <c r="T2330"/>
      <c r="U2330"/>
      <c r="V2330"/>
      <c r="Z2330"/>
      <c r="AA2330"/>
    </row>
    <row r="2331" spans="7:27" x14ac:dyDescent="0.45">
      <c r="G2331"/>
      <c r="H2331"/>
      <c r="I2331"/>
      <c r="J2331"/>
      <c r="M2331"/>
      <c r="O2331"/>
      <c r="Q2331"/>
      <c r="R2331"/>
      <c r="S2331"/>
      <c r="T2331"/>
      <c r="U2331"/>
      <c r="V2331"/>
      <c r="Z2331"/>
      <c r="AA2331"/>
    </row>
    <row r="2332" spans="7:27" x14ac:dyDescent="0.45">
      <c r="G2332"/>
      <c r="H2332"/>
      <c r="I2332"/>
      <c r="J2332"/>
      <c r="M2332"/>
      <c r="O2332"/>
      <c r="Q2332"/>
      <c r="R2332"/>
      <c r="S2332"/>
      <c r="T2332"/>
      <c r="U2332"/>
      <c r="V2332"/>
      <c r="Z2332"/>
      <c r="AA2332"/>
    </row>
  </sheetData>
  <autoFilter ref="B5:AA5"/>
  <phoneticPr fontId="2" type="noConversion"/>
  <conditionalFormatting sqref="S6:S857">
    <cfRule type="cellIs" dxfId="62" priority="2745" operator="between">
      <formula>1</formula>
      <formula>19</formula>
    </cfRule>
    <cfRule type="cellIs" dxfId="61" priority="2746" operator="between">
      <formula>20</formula>
      <formula>29</formula>
    </cfRule>
    <cfRule type="expression" dxfId="60" priority="2747">
      <formula>$S6&gt;=30</formula>
    </cfRule>
  </conditionalFormatting>
  <conditionalFormatting sqref="S7 S9:S857">
    <cfRule type="expression" dxfId="59" priority="2742">
      <formula>$S7&lt;20</formula>
    </cfRule>
    <cfRule type="expression" dxfId="58" priority="2743">
      <formula>20&lt;=$S7&lt;30</formula>
    </cfRule>
    <cfRule type="expression" dxfId="57" priority="2744">
      <formula>$S7&gt;=30</formula>
    </cfRule>
  </conditionalFormatting>
  <conditionalFormatting sqref="S8">
    <cfRule type="expression" dxfId="56" priority="2739">
      <formula>$S8&lt;20</formula>
    </cfRule>
    <cfRule type="cellIs" dxfId="55" priority="2740" operator="between">
      <formula>20</formula>
      <formula>29</formula>
    </cfRule>
    <cfRule type="expression" dxfId="54" priority="2741">
      <formula>$S8&gt;=30</formula>
    </cfRule>
  </conditionalFormatting>
  <conditionalFormatting sqref="P6:P84 P86:P413 P459:P517 P419:P457 P519:P552 P554:P680 P772:P857 P682:P770">
    <cfRule type="containsText" dxfId="53" priority="2737" operator="containsText" text="복도식">
      <formula>NOT(ISERROR(SEARCH("복도식",P6)))</formula>
    </cfRule>
    <cfRule type="containsText" dxfId="52" priority="2738" operator="containsText" text="계단식">
      <formula>NOT(ISERROR(SEARCH("계단식",P6)))</formula>
    </cfRule>
  </conditionalFormatting>
  <conditionalFormatting sqref="Q6:Q84 Q86:Q413 Q459:Q517 Q419:Q457 Q519:Q552 Q554:Q680 Q772:Q857 Q682:Q770">
    <cfRule type="containsText" dxfId="51" priority="2501" operator="containsText" text="2">
      <formula>NOT(ISERROR(SEARCH("2",Q6)))</formula>
    </cfRule>
    <cfRule type="containsText" dxfId="50" priority="2502" operator="containsText" text="3">
      <formula>NOT(ISERROR(SEARCH("3",Q6)))</formula>
    </cfRule>
  </conditionalFormatting>
  <conditionalFormatting sqref="P85">
    <cfRule type="containsText" dxfId="49" priority="483" operator="containsText" text="복도식">
      <formula>NOT(ISERROR(SEARCH("복도식",P85)))</formula>
    </cfRule>
    <cfRule type="containsText" dxfId="48" priority="484" operator="containsText" text="계단식">
      <formula>NOT(ISERROR(SEARCH("계단식",P85)))</formula>
    </cfRule>
  </conditionalFormatting>
  <conditionalFormatting sqref="Q85">
    <cfRule type="containsText" dxfId="47" priority="481" operator="containsText" text="2">
      <formula>NOT(ISERROR(SEARCH("2",Q85)))</formula>
    </cfRule>
    <cfRule type="containsText" dxfId="46" priority="482" operator="containsText" text="3">
      <formula>NOT(ISERROR(SEARCH("3",Q85)))</formula>
    </cfRule>
  </conditionalFormatting>
  <conditionalFormatting sqref="P458">
    <cfRule type="containsText" dxfId="45" priority="475" operator="containsText" text="복도식">
      <formula>NOT(ISERROR(SEARCH("복도식",P458)))</formula>
    </cfRule>
    <cfRule type="containsText" dxfId="44" priority="476" operator="containsText" text="계단식">
      <formula>NOT(ISERROR(SEARCH("계단식",P458)))</formula>
    </cfRule>
  </conditionalFormatting>
  <conditionalFormatting sqref="Q458">
    <cfRule type="containsText" dxfId="43" priority="473" operator="containsText" text="2">
      <formula>NOT(ISERROR(SEARCH("2",Q458)))</formula>
    </cfRule>
    <cfRule type="containsText" dxfId="42" priority="474" operator="containsText" text="3">
      <formula>NOT(ISERROR(SEARCH("3",Q458)))</formula>
    </cfRule>
  </conditionalFormatting>
  <conditionalFormatting sqref="P414:P418">
    <cfRule type="containsText" dxfId="41" priority="465" operator="containsText" text="복도식">
      <formula>NOT(ISERROR(SEARCH("복도식",P414)))</formula>
    </cfRule>
    <cfRule type="containsText" dxfId="40" priority="466" operator="containsText" text="계단식">
      <formula>NOT(ISERROR(SEARCH("계단식",P414)))</formula>
    </cfRule>
  </conditionalFormatting>
  <conditionalFormatting sqref="Q414:Q418">
    <cfRule type="containsText" dxfId="39" priority="463" operator="containsText" text="2">
      <formula>NOT(ISERROR(SEARCH("2",Q414)))</formula>
    </cfRule>
    <cfRule type="containsText" dxfId="38" priority="464" operator="containsText" text="3">
      <formula>NOT(ISERROR(SEARCH("3",Q414)))</formula>
    </cfRule>
  </conditionalFormatting>
  <conditionalFormatting sqref="P771">
    <cfRule type="containsText" dxfId="37" priority="457" operator="containsText" text="복도식">
      <formula>NOT(ISERROR(SEARCH("복도식",P771)))</formula>
    </cfRule>
    <cfRule type="containsText" dxfId="36" priority="458" operator="containsText" text="계단식">
      <formula>NOT(ISERROR(SEARCH("계단식",P771)))</formula>
    </cfRule>
  </conditionalFormatting>
  <conditionalFormatting sqref="Q771">
    <cfRule type="containsText" dxfId="35" priority="455" operator="containsText" text="2">
      <formula>NOT(ISERROR(SEARCH("2",Q771)))</formula>
    </cfRule>
    <cfRule type="containsText" dxfId="34" priority="456" operator="containsText" text="3">
      <formula>NOT(ISERROR(SEARCH("3",Q771)))</formula>
    </cfRule>
  </conditionalFormatting>
  <conditionalFormatting sqref="P518">
    <cfRule type="containsText" dxfId="33" priority="453" operator="containsText" text="복도식">
      <formula>NOT(ISERROR(SEARCH("복도식",P518)))</formula>
    </cfRule>
    <cfRule type="containsText" dxfId="32" priority="454" operator="containsText" text="계단식">
      <formula>NOT(ISERROR(SEARCH("계단식",P518)))</formula>
    </cfRule>
  </conditionalFormatting>
  <conditionalFormatting sqref="Q518">
    <cfRule type="containsText" dxfId="31" priority="451" operator="containsText" text="2">
      <formula>NOT(ISERROR(SEARCH("2",Q518)))</formula>
    </cfRule>
    <cfRule type="containsText" dxfId="30" priority="452" operator="containsText" text="3">
      <formula>NOT(ISERROR(SEARCH("3",Q518)))</formula>
    </cfRule>
  </conditionalFormatting>
  <conditionalFormatting sqref="P681">
    <cfRule type="containsText" dxfId="29" priority="449" operator="containsText" text="복도식">
      <formula>NOT(ISERROR(SEARCH("복도식",P681)))</formula>
    </cfRule>
    <cfRule type="containsText" dxfId="28" priority="450" operator="containsText" text="계단식">
      <formula>NOT(ISERROR(SEARCH("계단식",P681)))</formula>
    </cfRule>
  </conditionalFormatting>
  <conditionalFormatting sqref="Q681">
    <cfRule type="containsText" dxfId="27" priority="447" operator="containsText" text="2">
      <formula>NOT(ISERROR(SEARCH("2",Q681)))</formula>
    </cfRule>
    <cfRule type="containsText" dxfId="26" priority="448" operator="containsText" text="3">
      <formula>NOT(ISERROR(SEARCH("3",Q681)))</formula>
    </cfRule>
  </conditionalFormatting>
  <conditionalFormatting sqref="P553">
    <cfRule type="containsText" dxfId="25" priority="435" operator="containsText" text="복도식">
      <formula>NOT(ISERROR(SEARCH("복도식",P553)))</formula>
    </cfRule>
    <cfRule type="containsText" dxfId="24" priority="436" operator="containsText" text="계단식">
      <formula>NOT(ISERROR(SEARCH("계단식",P553)))</formula>
    </cfRule>
  </conditionalFormatting>
  <conditionalFormatting sqref="Q553">
    <cfRule type="containsText" dxfId="23" priority="433" operator="containsText" text="2">
      <formula>NOT(ISERROR(SEARCH("2",Q553)))</formula>
    </cfRule>
    <cfRule type="containsText" dxfId="22" priority="434" operator="containsText" text="3">
      <formula>NOT(ISERROR(SEARCH("3",Q553)))</formula>
    </cfRule>
  </conditionalFormatting>
  <conditionalFormatting sqref="W6">
    <cfRule type="cellIs" dxfId="21" priority="32" operator="greaterThan">
      <formula>0</formula>
    </cfRule>
    <cfRule type="cellIs" dxfId="20" priority="33" operator="between">
      <formula>0</formula>
      <formula>-0.1</formula>
    </cfRule>
    <cfRule type="cellIs" dxfId="19" priority="34" operator="between">
      <formula>-0.1</formula>
      <formula>-0.2</formula>
    </cfRule>
  </conditionalFormatting>
  <conditionalFormatting sqref="W6">
    <cfRule type="cellIs" dxfId="18" priority="31" operator="between">
      <formula>-0.2</formula>
      <formula>-1</formula>
    </cfRule>
  </conditionalFormatting>
  <conditionalFormatting sqref="Z6">
    <cfRule type="cellIs" dxfId="17" priority="18" operator="lessThan">
      <formula>0.5</formula>
    </cfRule>
    <cfRule type="cellIs" dxfId="16" priority="19" operator="between">
      <formula>0.5</formula>
      <formula>0.6</formula>
    </cfRule>
    <cfRule type="cellIs" dxfId="15" priority="20" operator="between">
      <formula>0.6</formula>
      <formula>0.7</formula>
    </cfRule>
    <cfRule type="cellIs" dxfId="14" priority="21" operator="greaterThan">
      <formula>0.7</formula>
    </cfRule>
  </conditionalFormatting>
  <conditionalFormatting sqref="W7:W857">
    <cfRule type="cellIs" dxfId="13" priority="15" operator="greaterThan">
      <formula>0</formula>
    </cfRule>
    <cfRule type="cellIs" dxfId="12" priority="16" operator="between">
      <formula>0</formula>
      <formula>-0.1</formula>
    </cfRule>
    <cfRule type="cellIs" dxfId="11" priority="17" operator="between">
      <formula>-0.1</formula>
      <formula>-0.2</formula>
    </cfRule>
  </conditionalFormatting>
  <conditionalFormatting sqref="W7:W857">
    <cfRule type="cellIs" dxfId="10" priority="14" operator="between">
      <formula>-0.2</formula>
      <formula>-1</formula>
    </cfRule>
  </conditionalFormatting>
  <conditionalFormatting sqref="Z7:Z857">
    <cfRule type="cellIs" dxfId="9" priority="1" operator="lessThan">
      <formula>0.5</formula>
    </cfRule>
    <cfRule type="cellIs" dxfId="8" priority="2" operator="between">
      <formula>0.5</formula>
      <formula>0.6</formula>
    </cfRule>
    <cfRule type="cellIs" dxfId="7" priority="3" operator="between">
      <formula>0.6</formula>
      <formula>0.7</formula>
    </cfRule>
    <cfRule type="cellIs" dxfId="6" priority="4" operator="greaterThan">
      <formula>0.7</formula>
    </cfRule>
  </conditionalFormatting>
  <conditionalFormatting sqref="U6:U857">
    <cfRule type="expression" dxfId="5" priority="2936">
      <formula>#REF!=0</formula>
    </cfRule>
    <cfRule type="expression" dxfId="4" priority="2937">
      <formula>$U6&lt;#REF!</formula>
    </cfRule>
    <cfRule type="expression" dxfId="3" priority="2938">
      <formula>$U6&gt;#REF!</formula>
    </cfRule>
  </conditionalFormatting>
  <conditionalFormatting sqref="V6:V857">
    <cfRule type="expression" dxfId="2" priority="2939">
      <formula>#REF!=0</formula>
    </cfRule>
    <cfRule type="expression" dxfId="1" priority="2940">
      <formula>$V6&lt;#REF!</formula>
    </cfRule>
    <cfRule type="expression" dxfId="0" priority="2941">
      <formula>$V6&gt;#REF!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박재상</dc:creator>
  <cp:lastModifiedBy>박재상</cp:lastModifiedBy>
  <dcterms:created xsi:type="dcterms:W3CDTF">2026-01-11T06:33:20Z</dcterms:created>
  <dcterms:modified xsi:type="dcterms:W3CDTF">2026-01-18T05:23:56Z</dcterms:modified>
</cp:coreProperties>
</file>